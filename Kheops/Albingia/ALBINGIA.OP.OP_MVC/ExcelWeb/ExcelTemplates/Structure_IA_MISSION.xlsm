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ts\Kheops\Support\Kheops\Albingia\ALBINGIA.OP.OP_MVC\ExcelWeb\ExcelTemplates\"/>
    </mc:Choice>
  </mc:AlternateContent>
  <bookViews>
    <workbookView xWindow="0" yWindow="0" windowWidth="24000" windowHeight="9885"/>
  </bookViews>
  <sheets>
    <sheet name="Informations Contrats" sheetId="4" r:id="rId1"/>
    <sheet name="Referentiels" sheetId="5" state="hidden" r:id="rId2"/>
  </sheets>
  <definedNames>
    <definedName name="AP">Referentiels!$C$2:$C$19</definedName>
    <definedName name="CO">Referentiels!$D$2:$D$19</definedName>
    <definedName name="IA">Referentiels!$E$2:$E$19</definedName>
    <definedName name="IN">Referentiels!$F$2:$F$19</definedName>
    <definedName name="LO">Referentiels!$G$2:$G$19</definedName>
    <definedName name="MR">Referentiels!$H$2:$H$19</definedName>
    <definedName name="PJ">Referentiels!$I$2:$I$19</definedName>
    <definedName name="PP">Referentiels!$J$2:$J$19</definedName>
    <definedName name="RC_">Referentiels!$K$2:$K$19</definedName>
    <definedName name="RS">Referentiels!$L$2:$L$19</definedName>
    <definedName name="RT">Referentiels!$M$2:$M$19</definedName>
    <definedName name="TR">Referentiels!$N$2:$N$19</definedName>
    <definedName name="ZZ">Referentiels!$O$2:$O$19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4" i="4" l="1"/>
  <c r="O85" i="4"/>
  <c r="O86" i="4"/>
  <c r="O87" i="4"/>
  <c r="O88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71" i="4"/>
  <c r="P4" i="4"/>
  <c r="P3" i="4"/>
  <c r="O49" i="4"/>
  <c r="N90" i="4" s="1"/>
  <c r="O50" i="4"/>
  <c r="O51" i="4"/>
  <c r="O52" i="4"/>
  <c r="O53" i="4"/>
  <c r="O68" i="4"/>
  <c r="O83" i="4"/>
  <c r="O81" i="4"/>
  <c r="O82" i="4"/>
  <c r="O80" i="4"/>
  <c r="O76" i="4"/>
  <c r="O77" i="4"/>
  <c r="O78" i="4"/>
  <c r="O79" i="4"/>
  <c r="O73" i="4"/>
  <c r="O74" i="4"/>
  <c r="O75" i="4"/>
  <c r="O72" i="4"/>
  <c r="O70" i="4"/>
  <c r="O69" i="4"/>
  <c r="O48" i="4"/>
  <c r="O47" i="4"/>
  <c r="J90" i="4" s="1"/>
  <c r="O40" i="4"/>
  <c r="H90" i="4"/>
  <c r="O34" i="4"/>
  <c r="F90" i="4" s="1"/>
  <c r="F9" i="4" s="1"/>
  <c r="L90" i="4" l="1"/>
  <c r="E93" i="4"/>
  <c r="E92" i="4"/>
  <c r="F8" i="4"/>
  <c r="P7" i="4"/>
  <c r="B14" i="4" s="1"/>
  <c r="P5" i="4"/>
</calcChain>
</file>

<file path=xl/comments1.xml><?xml version="1.0" encoding="utf-8"?>
<comments xmlns="http://schemas.openxmlformats.org/spreadsheetml/2006/main">
  <authors>
    <author>Erwan COULM</author>
  </authors>
  <commentList>
    <comment ref="B47" authorId="0" shapeId="0">
      <text>
        <r>
          <rPr>
            <sz val="9"/>
            <color indexed="81"/>
            <rFont val="Tahoma"/>
            <family val="2"/>
          </rPr>
          <t>ADP - Assurance des Personnes</t>
        </r>
      </text>
    </comment>
    <comment ref="B48" authorId="0" shapeId="0">
      <text>
        <r>
          <rPr>
            <sz val="9"/>
            <color indexed="81"/>
            <rFont val="Tahoma"/>
            <family val="2"/>
          </rPr>
          <t>IA - Garantie Individuelle Accident</t>
        </r>
      </text>
    </comment>
    <comment ref="B49" authorId="0" shapeId="0">
      <text>
        <r>
          <rPr>
            <sz val="9"/>
            <color indexed="81"/>
            <rFont val="Tahoma"/>
            <family val="2"/>
          </rPr>
          <t>DCAC - Décès suite à Accident</t>
        </r>
      </text>
    </comment>
    <comment ref="B50" authorId="0" shapeId="0">
      <text>
        <r>
          <rPr>
            <sz val="9"/>
            <color indexed="81"/>
            <rFont val="Tahoma"/>
            <family val="2"/>
          </rPr>
          <t>TARDC - Garanties Complémentaires Décès</t>
        </r>
      </text>
    </comment>
    <comment ref="B51" authorId="0" shapeId="0">
      <text>
        <r>
          <rPr>
            <sz val="9"/>
            <color indexed="81"/>
            <rFont val="Tahoma"/>
            <family val="2"/>
          </rPr>
          <t>ACAE - Complément accident aérien</t>
        </r>
      </text>
    </comment>
    <comment ref="B52" authorId="0" shapeId="0">
      <text>
        <r>
          <rPr>
            <sz val="9"/>
            <color indexed="81"/>
            <rFont val="Tahoma"/>
            <family val="2"/>
          </rPr>
          <t>COMFAM - Complément Famille</t>
        </r>
      </text>
    </comment>
    <comment ref="B53" authorId="0" shapeId="0">
      <text>
        <r>
          <rPr>
            <sz val="9"/>
            <color indexed="81"/>
            <rFont val="Tahoma"/>
            <family val="2"/>
          </rPr>
          <t>DCCON - Décès du conjoint suite à accident</t>
        </r>
      </text>
    </comment>
    <comment ref="B54" authorId="0" shapeId="0">
      <text>
        <r>
          <rPr>
            <sz val="9"/>
            <color indexed="81"/>
            <rFont val="Tahoma"/>
            <family val="2"/>
          </rPr>
          <t>DCENF - Décès d'un enfant à charge suite à accident</t>
        </r>
      </text>
    </comment>
    <comment ref="B55" authorId="0" shapeId="0">
      <text>
        <r>
          <rPr>
            <sz val="9"/>
            <color indexed="81"/>
            <rFont val="Tahoma"/>
            <family val="2"/>
          </rPr>
          <t>IPTAC - Invalidité Permanente Totale ou partielle suite à Accident (selon barème)</t>
        </r>
      </text>
    </comment>
    <comment ref="B56" authorId="0" shapeId="0">
      <text>
        <r>
          <rPr>
            <sz val="9"/>
            <color indexed="81"/>
            <rFont val="Tahoma"/>
            <family val="2"/>
          </rPr>
          <t>TARIP - Garanties Complémentaires Invalidité Permanenrtes</t>
        </r>
      </text>
    </comment>
    <comment ref="B57" authorId="0" shapeId="0">
      <text>
        <r>
          <rPr>
            <sz val="9"/>
            <color indexed="81"/>
            <rFont val="Tahoma"/>
            <family val="2"/>
          </rPr>
          <t>CADVI - Frais d'aménagement du cadre de vie</t>
        </r>
      </text>
    </comment>
    <comment ref="B58" authorId="0" shapeId="0">
      <text>
        <r>
          <rPr>
            <sz val="9"/>
            <color indexed="81"/>
            <rFont val="Tahoma"/>
            <family val="2"/>
          </rPr>
          <t>IPCON - Invalidité Permanente du conjoint suite à accident</t>
        </r>
      </text>
    </comment>
    <comment ref="B59" authorId="0" shapeId="0">
      <text>
        <r>
          <rPr>
            <sz val="9"/>
            <color indexed="81"/>
            <rFont val="Tahoma"/>
            <family val="2"/>
          </rPr>
          <t>IPENF - Invalidité permanente d'un enfant à charge suite à accident</t>
        </r>
      </text>
    </comment>
    <comment ref="B60" authorId="0" shapeId="0">
      <text>
        <r>
          <rPr>
            <sz val="9"/>
            <color indexed="81"/>
            <rFont val="Tahoma"/>
            <family val="2"/>
          </rPr>
          <t>COMA - Indemnités Journalières en cas de Coma suite à Accident</t>
        </r>
      </text>
    </comment>
    <comment ref="B61" authorId="0" shapeId="0">
      <text>
        <r>
          <rPr>
            <sz val="9"/>
            <color indexed="81"/>
            <rFont val="Tahoma"/>
            <family val="2"/>
          </rPr>
          <t>HSPAC - Indemnités Journalières en cas d'hospitalisation suite à Accident</t>
        </r>
      </text>
    </comment>
    <comment ref="B62" authorId="0" shapeId="0">
      <text>
        <r>
          <rPr>
            <sz val="9"/>
            <color indexed="81"/>
            <rFont val="Tahoma"/>
            <family val="2"/>
          </rPr>
          <t>HSPML - Hospitalisation suite à maladie</t>
        </r>
      </text>
    </comment>
    <comment ref="B63" authorId="0" shapeId="0">
      <text>
        <r>
          <rPr>
            <sz val="9"/>
            <color indexed="81"/>
            <rFont val="Tahoma"/>
            <family val="2"/>
          </rPr>
          <t>FRMEET - Frais médicaux à l'étranger</t>
        </r>
      </text>
    </comment>
    <comment ref="B64" authorId="0" shapeId="0">
      <text>
        <r>
          <rPr>
            <sz val="9"/>
            <color indexed="81"/>
            <rFont val="Tahoma"/>
            <family val="2"/>
          </rPr>
          <t>FRHF - Frais médicaux en France suite à hospitalisation à l'étranger</t>
        </r>
      </text>
    </comment>
    <comment ref="B65" authorId="0" shapeId="0">
      <text>
        <r>
          <rPr>
            <sz val="9"/>
            <color indexed="81"/>
            <rFont val="Tahoma"/>
            <family val="2"/>
          </rPr>
          <t>TARADP - Autres Garanties Complémentaires</t>
        </r>
      </text>
    </comment>
    <comment ref="B66" authorId="0" shapeId="0">
      <text>
        <r>
          <rPr>
            <sz val="9"/>
            <color indexed="81"/>
            <rFont val="Tahoma"/>
            <family val="2"/>
          </rPr>
          <t>ACCPSY - Accompagnement psychologique</t>
        </r>
      </text>
    </comment>
    <comment ref="B67" authorId="0" shapeId="0">
      <text>
        <r>
          <rPr>
            <sz val="9"/>
            <color indexed="81"/>
            <rFont val="Tahoma"/>
            <family val="2"/>
          </rPr>
          <t>PREJES - Préjudice Esthétique</t>
        </r>
      </text>
    </comment>
    <comment ref="B68" authorId="0" shapeId="0">
      <text>
        <r>
          <rPr>
            <sz val="9"/>
            <color indexed="81"/>
            <rFont val="Tahoma"/>
            <family val="2"/>
          </rPr>
          <t>OTAGE - Prise d'otage</t>
        </r>
      </text>
    </comment>
    <comment ref="B69" authorId="0" shapeId="0">
      <text>
        <r>
          <rPr>
            <sz val="9"/>
            <color indexed="81"/>
            <rFont val="Tahoma"/>
            <family val="2"/>
          </rPr>
          <t>ASSIST - Assistance</t>
        </r>
      </text>
    </comment>
    <comment ref="B70" authorId="0" shapeId="0">
      <text>
        <r>
          <rPr>
            <sz val="9"/>
            <color indexed="81"/>
            <rFont val="Tahoma"/>
            <family val="2"/>
          </rPr>
          <t>MONDAS - Mondial Assistance</t>
        </r>
      </text>
    </comment>
    <comment ref="H70" authorId="0" shapeId="0">
      <text>
        <r>
          <rPr>
            <sz val="9"/>
            <color indexed="81"/>
            <rFont val="Tahoma"/>
            <family val="2"/>
          </rPr>
          <t xml:space="preserve">DAB - 2k€/m² et selon valeurs risque                        </t>
        </r>
      </text>
    </comment>
    <comment ref="B71" authorId="0" shapeId="0">
      <text>
        <r>
          <rPr>
            <sz val="9"/>
            <color indexed="81"/>
            <rFont val="Tahoma"/>
            <family val="2"/>
          </rPr>
          <t>EURASS - Europ Assistance</t>
        </r>
      </text>
    </comment>
    <comment ref="B72" authorId="0" shapeId="0">
      <text>
        <r>
          <rPr>
            <sz val="9"/>
            <color indexed="81"/>
            <rFont val="Tahoma"/>
            <family val="2"/>
          </rPr>
          <t>DOMADP - Dommages</t>
        </r>
      </text>
    </comment>
    <comment ref="B73" authorId="0" shapeId="0">
      <text>
        <r>
          <rPr>
            <sz val="9"/>
            <color indexed="81"/>
            <rFont val="Tahoma"/>
            <family val="2"/>
          </rPr>
          <t>BAGAGE - Dommages aux bagages</t>
        </r>
      </text>
    </comment>
    <comment ref="B74" authorId="0" shapeId="0">
      <text>
        <r>
          <rPr>
            <sz val="9"/>
            <color indexed="81"/>
            <rFont val="Tahoma"/>
            <family val="2"/>
          </rPr>
          <t>VOL - Vol, perte, destruction ou détérioration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OBJVAL - Vol/ Objets de valeur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DAB - plafond selle</t>
        </r>
      </text>
    </comment>
    <comment ref="B76" authorId="0" shapeId="0">
      <text>
        <r>
          <rPr>
            <sz val="9"/>
            <color indexed="81"/>
            <rFont val="Tahoma"/>
            <family val="2"/>
          </rPr>
          <t>VOLECH - Vol, perte, destruction des échantillons</t>
        </r>
      </text>
    </comment>
    <comment ref="B77" authorId="0" shapeId="0">
      <text>
        <r>
          <rPr>
            <sz val="9"/>
            <color indexed="81"/>
            <rFont val="Tahoma"/>
            <family val="2"/>
          </rPr>
          <t>UTSIM - Utilisation frauduleuse de la carte SIM</t>
        </r>
      </text>
    </comment>
    <comment ref="H77" authorId="0" shapeId="0">
      <text>
        <r>
          <rPr>
            <sz val="9"/>
            <color indexed="81"/>
            <rFont val="Tahoma"/>
            <family val="2"/>
          </rPr>
          <t>DAB - maxi 30k€*Année-10k€/Equidé</t>
        </r>
      </text>
    </comment>
    <comment ref="B78" authorId="0" shapeId="0">
      <text>
        <r>
          <rPr>
            <sz val="9"/>
            <color indexed="81"/>
            <rFont val="Tahoma"/>
            <family val="2"/>
          </rPr>
          <t>RETBAG - Retard dans la livraison des bagages</t>
        </r>
      </text>
    </comment>
    <comment ref="B79" authorId="0" shapeId="0">
      <text>
        <r>
          <rPr>
            <sz val="9"/>
            <color indexed="81"/>
            <rFont val="Tahoma"/>
            <family val="2"/>
          </rPr>
          <t>REMFRA - Remboursement franchise du véhicule de location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ANVOY - Annulation du voyage(ou du déplacement professionel)</t>
        </r>
      </text>
    </comment>
    <comment ref="B81" authorId="0" shapeId="0">
      <text>
        <r>
          <rPr>
            <sz val="9"/>
            <color indexed="81"/>
            <rFont val="Tahoma"/>
            <family val="2"/>
          </rPr>
          <t>ANVOY - Annulation du déplacement professionnel</t>
        </r>
      </text>
    </comment>
    <comment ref="B82" authorId="0" shapeId="0">
      <text>
        <r>
          <rPr>
            <sz val="9"/>
            <color indexed="81"/>
            <rFont val="Tahoma"/>
            <family val="2"/>
          </rPr>
          <t>RCVPK - Responsabilité civile vie privée</t>
        </r>
      </text>
    </comment>
    <comment ref="B83" authorId="0" shapeId="0">
      <text>
        <r>
          <rPr>
            <sz val="9"/>
            <color indexed="81"/>
            <rFont val="Tahoma"/>
            <family val="2"/>
          </rPr>
          <t>RCVPK - Responsabilité Civile Vie Privée</t>
        </r>
      </text>
    </comment>
    <comment ref="B84" authorId="0" shapeId="0">
      <text>
        <r>
          <rPr>
            <sz val="9"/>
            <color indexed="81"/>
            <rFont val="Tahoma"/>
            <family val="2"/>
          </rPr>
          <t>DCMIC - Responsabilité Civile : Corporel, matériel et immatériels consécutifs</t>
        </r>
      </text>
    </comment>
    <comment ref="B85" authorId="0" shapeId="0">
      <text>
        <r>
          <rPr>
            <sz val="9"/>
            <color indexed="81"/>
            <rFont val="Tahoma"/>
            <family val="2"/>
          </rPr>
          <t>USACAN - Extension géographique USA-Canada</t>
        </r>
      </text>
    </comment>
    <comment ref="B86" authorId="0" shapeId="0">
      <text>
        <r>
          <rPr>
            <sz val="9"/>
            <color indexed="81"/>
            <rFont val="Tahoma"/>
            <family val="2"/>
          </rPr>
          <t>INTOX - Intoxication alimentaire</t>
        </r>
      </text>
    </comment>
    <comment ref="B87" authorId="0" shapeId="0">
      <text>
        <r>
          <rPr>
            <sz val="9"/>
            <color indexed="81"/>
            <rFont val="Tahoma"/>
            <family val="2"/>
          </rPr>
          <t>DMIC - Dommages matériels et immatériels consécutifs</t>
        </r>
      </text>
    </comment>
    <comment ref="B88" authorId="0" shapeId="0">
      <text>
        <r>
          <rPr>
            <sz val="9"/>
            <color indexed="81"/>
            <rFont val="Tahoma"/>
            <family val="2"/>
          </rPr>
          <t>ASSJUR - Assistance juridique</t>
        </r>
      </text>
    </comment>
  </commentList>
</comments>
</file>

<file path=xl/sharedStrings.xml><?xml version="1.0" encoding="utf-8"?>
<sst xmlns="http://schemas.openxmlformats.org/spreadsheetml/2006/main" count="888" uniqueCount="411">
  <si>
    <t>Designation</t>
  </si>
  <si>
    <t>Periodicite</t>
  </si>
  <si>
    <t>Nature Contrat</t>
  </si>
  <si>
    <t>Part Albingia</t>
  </si>
  <si>
    <t xml:space="preserve">au </t>
  </si>
  <si>
    <t>Branche/Cible</t>
  </si>
  <si>
    <t>Période garantie</t>
  </si>
  <si>
    <t>Risque 1</t>
  </si>
  <si>
    <t>Formule A</t>
  </si>
  <si>
    <t>Franchise</t>
  </si>
  <si>
    <t>LCI</t>
  </si>
  <si>
    <t>Assiette</t>
  </si>
  <si>
    <t>Prime</t>
  </si>
  <si>
    <t>RC</t>
  </si>
  <si>
    <t>Cotisations</t>
  </si>
  <si>
    <t>CATNAT</t>
  </si>
  <si>
    <t>Gestionnaire</t>
  </si>
  <si>
    <t>Souscripteur</t>
  </si>
  <si>
    <t>Assuré</t>
  </si>
  <si>
    <t>Numéro de Police/Aliment</t>
  </si>
  <si>
    <t>Courtier Apporteur</t>
  </si>
  <si>
    <t>Courtier Payeur</t>
  </si>
  <si>
    <t>Devise</t>
  </si>
  <si>
    <t>EUR</t>
  </si>
  <si>
    <t>O</t>
  </si>
  <si>
    <t>C</t>
  </si>
  <si>
    <t>Courtier Gestionnaire/Quittancement/Interlocuteur</t>
  </si>
  <si>
    <t>Régime Taxe</t>
  </si>
  <si>
    <t>1 - Régime normal</t>
  </si>
  <si>
    <t>Prochaine échéance</t>
  </si>
  <si>
    <t>Indice Référence/Valeur</t>
  </si>
  <si>
    <t>Taux CATNAT</t>
  </si>
  <si>
    <t>Taux Hors CATNAT</t>
  </si>
  <si>
    <t>Intercalaire courtier</t>
  </si>
  <si>
    <t>N</t>
  </si>
  <si>
    <t>CONTRAT KHEOPS</t>
  </si>
  <si>
    <t>Échéance principale (JJ/MM)</t>
  </si>
  <si>
    <t>Date Accord (JJ/MM/YYYY)</t>
  </si>
  <si>
    <t>Préavis (Nb Mois)</t>
  </si>
  <si>
    <t>Bloc</t>
  </si>
  <si>
    <t>Volet</t>
  </si>
  <si>
    <t>IA</t>
  </si>
  <si>
    <t>Nomenclatures</t>
  </si>
  <si>
    <t>Objet 1</t>
  </si>
  <si>
    <t>Partie Objet (rajouter autant de bloc qu'il y a d'objets dans le risque)</t>
  </si>
  <si>
    <t>Partie Risque (rajouter autant de bloc qu'il y a de risques dans le contrat)</t>
  </si>
  <si>
    <t>Partie Formule/Garanties (rajouter autant d'association Volet/Bloc/Garanties que nécessaire)</t>
  </si>
  <si>
    <t>P</t>
  </si>
  <si>
    <t>Type (O/P)</t>
  </si>
  <si>
    <t>RS</t>
  </si>
  <si>
    <t>MR</t>
  </si>
  <si>
    <t>ASSURANCE ET AUDIT</t>
  </si>
  <si>
    <t>A - Annuel</t>
  </si>
  <si>
    <t>URL/Nom/Reference</t>
  </si>
  <si>
    <t>Partie Fichier Intercalaire (rajouter autant de blocs qu'il y a de fichiers)</t>
  </si>
  <si>
    <t>Date Effet (JJ/MM/YYYY) Début/Fin</t>
  </si>
  <si>
    <t>Mots Clés</t>
  </si>
  <si>
    <t>Mots Clés (3 max)</t>
  </si>
  <si>
    <t>Bâtiments assurés</t>
  </si>
  <si>
    <t>Territorialité</t>
  </si>
  <si>
    <t>Valeur/Unité/Type/HT-TTC</t>
  </si>
  <si>
    <t xml:space="preserve">AP             </t>
  </si>
  <si>
    <t xml:space="preserve">CO             </t>
  </si>
  <si>
    <t xml:space="preserve">IA             </t>
  </si>
  <si>
    <t xml:space="preserve">IN             </t>
  </si>
  <si>
    <t xml:space="preserve">LO             </t>
  </si>
  <si>
    <t xml:space="preserve">MR             </t>
  </si>
  <si>
    <t xml:space="preserve">PJ             </t>
  </si>
  <si>
    <t xml:space="preserve">PP             </t>
  </si>
  <si>
    <t xml:space="preserve">RC             </t>
  </si>
  <si>
    <t xml:space="preserve">RS             </t>
  </si>
  <si>
    <t xml:space="preserve">RT             </t>
  </si>
  <si>
    <t xml:space="preserve">TR             </t>
  </si>
  <si>
    <t xml:space="preserve">ZZ             </t>
  </si>
  <si>
    <t>Branches</t>
  </si>
  <si>
    <t xml:space="preserve">EQDOM     </t>
  </si>
  <si>
    <t xml:space="preserve">HOTELIERS </t>
  </si>
  <si>
    <t xml:space="preserve">PMEPMI    </t>
  </si>
  <si>
    <t xml:space="preserve">BUREAUX   </t>
  </si>
  <si>
    <t xml:space="preserve">EXP       </t>
  </si>
  <si>
    <t xml:space="preserve">PROFART   </t>
  </si>
  <si>
    <t xml:space="preserve">BIJ       </t>
  </si>
  <si>
    <t xml:space="preserve">PYG       </t>
  </si>
  <si>
    <t>AP</t>
  </si>
  <si>
    <t>CO</t>
  </si>
  <si>
    <t xml:space="preserve">GRCEQSAL  </t>
  </si>
  <si>
    <t xml:space="preserve">IMACEQ    </t>
  </si>
  <si>
    <t xml:space="preserve">GRCEQCLI  </t>
  </si>
  <si>
    <t xml:space="preserve">MISSION   </t>
  </si>
  <si>
    <t xml:space="preserve">MADELIN   </t>
  </si>
  <si>
    <t>PARTICULIE</t>
  </si>
  <si>
    <t xml:space="preserve">GROUPES   </t>
  </si>
  <si>
    <t xml:space="preserve">VOY       </t>
  </si>
  <si>
    <t xml:space="preserve">PPRO      </t>
  </si>
  <si>
    <t xml:space="preserve">IMAGE     </t>
  </si>
  <si>
    <t xml:space="preserve">REVENTE   </t>
  </si>
  <si>
    <t xml:space="preserve">HCLE      </t>
  </si>
  <si>
    <t xml:space="preserve">DAB       </t>
  </si>
  <si>
    <t xml:space="preserve">VITICOLE  </t>
  </si>
  <si>
    <t xml:space="preserve">PNO       </t>
  </si>
  <si>
    <t>IN</t>
  </si>
  <si>
    <t>LO</t>
  </si>
  <si>
    <t>PJ</t>
  </si>
  <si>
    <t>PP</t>
  </si>
  <si>
    <t xml:space="preserve">AUDRC     </t>
  </si>
  <si>
    <t xml:space="preserve">RCCEQ     </t>
  </si>
  <si>
    <t xml:space="preserve">RCORG     </t>
  </si>
  <si>
    <t xml:space="preserve">INDGRAPH  </t>
  </si>
  <si>
    <t xml:space="preserve">ASSURPOL  </t>
  </si>
  <si>
    <t xml:space="preserve">AMSRÉ     </t>
  </si>
  <si>
    <t xml:space="preserve">RCMDO     </t>
  </si>
  <si>
    <t xml:space="preserve">RCPIM     </t>
  </si>
  <si>
    <t xml:space="preserve">ETS       </t>
  </si>
  <si>
    <t xml:space="preserve">CRE       </t>
  </si>
  <si>
    <t xml:space="preserve">EXPERT    </t>
  </si>
  <si>
    <t xml:space="preserve">SPS       </t>
  </si>
  <si>
    <t>CONSULTANT</t>
  </si>
  <si>
    <t xml:space="preserve">PMO       </t>
  </si>
  <si>
    <t xml:space="preserve">MDB       </t>
  </si>
  <si>
    <t xml:space="preserve">ETT       </t>
  </si>
  <si>
    <t xml:space="preserve">SSI       </t>
  </si>
  <si>
    <t>RT</t>
  </si>
  <si>
    <t>TR</t>
  </si>
  <si>
    <t>ZZ</t>
  </si>
  <si>
    <t xml:space="preserve">AUDIORS   </t>
  </si>
  <si>
    <t xml:space="preserve">TV        </t>
  </si>
  <si>
    <t>RECUPAVPRE</t>
  </si>
  <si>
    <t>RECUPEDUCA</t>
  </si>
  <si>
    <t xml:space="preserve">FRAISCO   </t>
  </si>
  <si>
    <t>RECUPIMPGS</t>
  </si>
  <si>
    <t xml:space="preserve">PPECU     </t>
  </si>
  <si>
    <t>RECUPRSDIV</t>
  </si>
  <si>
    <t xml:space="preserve">CONGRES   </t>
  </si>
  <si>
    <t>RECUPSYMPO</t>
  </si>
  <si>
    <t xml:space="preserve">FOIRE     </t>
  </si>
  <si>
    <t xml:space="preserve">UNI       </t>
  </si>
  <si>
    <t>RECUPTOPEX</t>
  </si>
  <si>
    <t xml:space="preserve">SPECTACLE </t>
  </si>
  <si>
    <t xml:space="preserve">THEATRE   </t>
  </si>
  <si>
    <t xml:space="preserve">MANIFSPO  </t>
  </si>
  <si>
    <t xml:space="preserve">CEREMONIE </t>
  </si>
  <si>
    <t xml:space="preserve">RECUPTRIO </t>
  </si>
  <si>
    <t>ENR</t>
  </si>
  <si>
    <t xml:space="preserve">RCTRANS   </t>
  </si>
  <si>
    <t xml:space="preserve">FACULTES  </t>
  </si>
  <si>
    <t xml:space="preserve">CHARGEURS </t>
  </si>
  <si>
    <t xml:space="preserve">TPC       </t>
  </si>
  <si>
    <t>Périodicités</t>
  </si>
  <si>
    <t>E - Unique - Echéancier</t>
  </si>
  <si>
    <t>R - Régularisation seule</t>
  </si>
  <si>
    <t>S - Semestriel</t>
  </si>
  <si>
    <t>T - Trimestriel</t>
  </si>
  <si>
    <t>U - Unique</t>
  </si>
  <si>
    <t>ACONSERVER - Dossier à conserver</t>
  </si>
  <si>
    <t>ACTEON - acteon</t>
  </si>
  <si>
    <t>AGE - IA tranche d'âge</t>
  </si>
  <si>
    <t>ANREF - Affaire de référence</t>
  </si>
  <si>
    <t>AO - appel d'offre</t>
  </si>
  <si>
    <t>APRIL - APRIL</t>
  </si>
  <si>
    <t>AR CO FAIT - demande de doc faite</t>
  </si>
  <si>
    <t>AVPRE2 - Avant première V2</t>
  </si>
  <si>
    <t>AVPRE3 - Avant première V3</t>
  </si>
  <si>
    <t>BAILLEUR - contrat pour leaseur</t>
  </si>
  <si>
    <t>BCT - BCT</t>
  </si>
  <si>
    <t>BUDGET - Budget offres CO</t>
  </si>
  <si>
    <t>C.EQUESTRE - Centre équestre</t>
  </si>
  <si>
    <t>CAMPING - Camping</t>
  </si>
  <si>
    <t>CAVA - Cavalassur Centre Eq</t>
  </si>
  <si>
    <t>CIBLE - ciblage tarification</t>
  </si>
  <si>
    <t>CINETV - RS Convention CINEMA</t>
  </si>
  <si>
    <t>COMPLEMENT - RCD COMPLEMENTAIRE</t>
  </si>
  <si>
    <t>COTRC - TRC service CO</t>
  </si>
  <si>
    <t>DIOT - DIOT</t>
  </si>
  <si>
    <t>DRONE - DRONE</t>
  </si>
  <si>
    <t>DUBOURG - GEST.IMMO.DUBOURG</t>
  </si>
  <si>
    <t>EOLIENNE - Eolienne</t>
  </si>
  <si>
    <t>EQUI - Equicourtage Centre</t>
  </si>
  <si>
    <t>ETRANGER - Risques à l'étranger</t>
  </si>
  <si>
    <t>EVAM - EVAM syndic pro</t>
  </si>
  <si>
    <t>EWIGO - EWIGO</t>
  </si>
  <si>
    <t>FERROV - matériel ferroviaire</t>
  </si>
  <si>
    <t>FORAGE - FORAGE</t>
  </si>
  <si>
    <t>GPCHCHALON - GP C CH CHALONS CHAM</t>
  </si>
  <si>
    <t>GS NANTES - GS NANTES</t>
  </si>
  <si>
    <t>GS SOLUT° - GS SOLUTION</t>
  </si>
  <si>
    <t>GSSOLIA - GS Solution IA</t>
  </si>
  <si>
    <t>HAMBOURG - demande Hambourg</t>
  </si>
  <si>
    <t>HDN - HDN conseil</t>
  </si>
  <si>
    <t>HF - information HF</t>
  </si>
  <si>
    <t>HYDROSUD - HYDROSUD DIRECT</t>
  </si>
  <si>
    <t>ICADE - ICADE</t>
  </si>
  <si>
    <t>ICADE HPHP - HORS PROT HORS PAT</t>
  </si>
  <si>
    <t>ICADE HPPA - HORS PROT PAT</t>
  </si>
  <si>
    <t>ICADE PHPA - PROT HORS PAT</t>
  </si>
  <si>
    <t>ICADE PP - PROT PAT</t>
  </si>
  <si>
    <t>INDEP - rep.pol. INDEPENDENT</t>
  </si>
  <si>
    <t>INSPECT13 - Inspection Marseille</t>
  </si>
  <si>
    <t>JDC - journées du courtage</t>
  </si>
  <si>
    <t>JOCE - appel d'offre public</t>
  </si>
  <si>
    <t>LAPOSTOLLE - LAPOSTOLLE</t>
  </si>
  <si>
    <t>LPSBELGIQU - LPS Belgique</t>
  </si>
  <si>
    <t>LTA - accord longue durée</t>
  </si>
  <si>
    <t>MALAXEUR - Malaxeur</t>
  </si>
  <si>
    <t>MARSREPUBL - Marseille République</t>
  </si>
  <si>
    <t>MEA - reprise des contrat</t>
  </si>
  <si>
    <t>METHAN - Méthanisation</t>
  </si>
  <si>
    <t>MICROHYDRO - microcentrale hydro</t>
  </si>
  <si>
    <t>MILLER - MILLER</t>
  </si>
  <si>
    <t>MONACOTT - Monaco tremb terre</t>
  </si>
  <si>
    <t>MONCEAU - Groupe MONCEAU</t>
  </si>
  <si>
    <t>MONTGRU - monteur de grues</t>
  </si>
  <si>
    <t>MS - Marchandises sensibl</t>
  </si>
  <si>
    <t>NGIMMO - NG IMMO</t>
  </si>
  <si>
    <t>NOTICE - Contrat avec notice</t>
  </si>
  <si>
    <t>NUCLEAIRE - Nucléaire</t>
  </si>
  <si>
    <t>POLL - RC pollut° ASSURPOL</t>
  </si>
  <si>
    <t>POLMER - Contrat Aliments</t>
  </si>
  <si>
    <t>PONT - Pont</t>
  </si>
  <si>
    <t>PROTOC AON - Proto AON CO PARIS</t>
  </si>
  <si>
    <t>PROTOCOLE - Protocole</t>
  </si>
  <si>
    <t>QUINQUENNA - DO QUINQUENNALE</t>
  </si>
  <si>
    <t>RADIOLOGUE - RADIOLOGUE</t>
  </si>
  <si>
    <t>RCSOLO - RC Solo</t>
  </si>
  <si>
    <t>RDVCOM13 - RDV Com    Marseille</t>
  </si>
  <si>
    <t>RE LPS - re-souscription</t>
  </si>
  <si>
    <t>REGUL - Régule à effectuer</t>
  </si>
  <si>
    <t>RESAHIDF - Hopitaux IDF</t>
  </si>
  <si>
    <t>SDP MARTI - affaire martinique</t>
  </si>
  <si>
    <t>SG - SOCIETE GENERALE</t>
  </si>
  <si>
    <t>SNI - SNI</t>
  </si>
  <si>
    <t>SOLAIRE - SOLAIRE</t>
  </si>
  <si>
    <t>SOUTERR - matériel souterrain</t>
  </si>
  <si>
    <t>TEMPO - tempo en transport</t>
  </si>
  <si>
    <t>TF1 - TF1</t>
  </si>
  <si>
    <t>TIG - TIG</t>
  </si>
  <si>
    <t>TOUR - TOUR MONTPARNASSE</t>
  </si>
  <si>
    <t>TRAMWAY - tramway</t>
  </si>
  <si>
    <t>TUNNELIER - Tunnelier</t>
  </si>
  <si>
    <t>Objets</t>
  </si>
  <si>
    <t>Contenu assurés</t>
  </si>
  <si>
    <t>Equidés de l'Assuré</t>
  </si>
  <si>
    <t>Equidés confiés</t>
  </si>
  <si>
    <t>Contenu d'habitation assurés</t>
  </si>
  <si>
    <t>Pertes de Marge Brute</t>
  </si>
  <si>
    <t>Pertes de Valeur Vénale</t>
  </si>
  <si>
    <t>M2</t>
  </si>
  <si>
    <t>D</t>
  </si>
  <si>
    <t>H</t>
  </si>
  <si>
    <t>CAA</t>
  </si>
  <si>
    <t>FAM</t>
  </si>
  <si>
    <t>Type Police</t>
  </si>
  <si>
    <t>Cellule à renseigner obligatoirement</t>
  </si>
  <si>
    <t>Cellule à ne pas modifier</t>
  </si>
  <si>
    <t>Prime Forcée HT Hors CATNAT/Valeur</t>
  </si>
  <si>
    <t>SIN</t>
  </si>
  <si>
    <t>3</t>
  </si>
  <si>
    <t>CPX</t>
  </si>
  <si>
    <t>15</t>
  </si>
  <si>
    <t>1</t>
  </si>
  <si>
    <t>2</t>
  </si>
  <si>
    <t>2500</t>
  </si>
  <si>
    <t>4</t>
  </si>
  <si>
    <t>184</t>
  </si>
  <si>
    <t>17045440123</t>
  </si>
  <si>
    <t>BUCHAJCZYK</t>
  </si>
  <si>
    <t>HARAS</t>
  </si>
  <si>
    <t>165823</t>
  </si>
  <si>
    <t>sans valeur</t>
  </si>
  <si>
    <t>Territorialités</t>
  </si>
  <si>
    <t xml:space="preserve">               </t>
  </si>
  <si>
    <t xml:space="preserve">CEC            </t>
  </si>
  <si>
    <t xml:space="preserve">CEE            </t>
  </si>
  <si>
    <t xml:space="preserve">DOM            </t>
  </si>
  <si>
    <t xml:space="preserve">EUR            </t>
  </si>
  <si>
    <t xml:space="preserve">FAM            </t>
  </si>
  <si>
    <t xml:space="preserve">FRA            </t>
  </si>
  <si>
    <t xml:space="preserve">FRC            </t>
  </si>
  <si>
    <t xml:space="preserve">FRM            </t>
  </si>
  <si>
    <t xml:space="preserve">FRO            </t>
  </si>
  <si>
    <t xml:space="preserve">LUX            </t>
  </si>
  <si>
    <t xml:space="preserve">MOH            </t>
  </si>
  <si>
    <t xml:space="preserve">MON            </t>
  </si>
  <si>
    <t xml:space="preserve">SUI            </t>
  </si>
  <si>
    <t xml:space="preserve">TER            </t>
  </si>
  <si>
    <t xml:space="preserve">UE             </t>
  </si>
  <si>
    <t xml:space="preserve">UE+            </t>
  </si>
  <si>
    <t xml:space="preserve">UE-            </t>
  </si>
  <si>
    <t>Informations sélectionées</t>
  </si>
  <si>
    <t>Choix</t>
  </si>
  <si>
    <t>Unité</t>
  </si>
  <si>
    <t xml:space="preserve">D              </t>
  </si>
  <si>
    <t xml:space="preserve">N              </t>
  </si>
  <si>
    <t>Type</t>
  </si>
  <si>
    <t>VTD</t>
  </si>
  <si>
    <t>HTTC</t>
  </si>
  <si>
    <t>T</t>
  </si>
  <si>
    <t>Nb_Volet</t>
  </si>
  <si>
    <t>Nb_Bloc</t>
  </si>
  <si>
    <t>Nb_Garantie</t>
  </si>
  <si>
    <t>Nb_Risque</t>
  </si>
  <si>
    <t>Nb_Objet</t>
  </si>
  <si>
    <t>DMIC - Dommages matériels et immatériels consécutifs</t>
  </si>
  <si>
    <t>Garantie 1</t>
  </si>
  <si>
    <t>ASSJUR - Assistance juridique</t>
  </si>
  <si>
    <t>RCVPK - Responsabilité civile vie privée</t>
  </si>
  <si>
    <t>DCMIC - Responsabilité Civile : Corporel, matériel et immatériels consécutifs</t>
  </si>
  <si>
    <t>12%</t>
  </si>
  <si>
    <t>Adresse</t>
  </si>
  <si>
    <t>Rue</t>
  </si>
  <si>
    <t>Code Postal</t>
  </si>
  <si>
    <t>Ville</t>
  </si>
  <si>
    <t>Numéro</t>
  </si>
  <si>
    <t>109</t>
  </si>
  <si>
    <t>rue Victor Hugo</t>
  </si>
  <si>
    <t>Levallois-Perret</t>
  </si>
  <si>
    <t>Biens assurés</t>
  </si>
  <si>
    <t>145</t>
  </si>
  <si>
    <t>Valeur</t>
  </si>
  <si>
    <t>PPMI</t>
  </si>
  <si>
    <t xml:space="preserve">D  </t>
  </si>
  <si>
    <t>5000</t>
  </si>
  <si>
    <t>LCI%</t>
  </si>
  <si>
    <t>LEFEBVRE</t>
  </si>
  <si>
    <t>30/11</t>
  </si>
  <si>
    <t>30%</t>
  </si>
  <si>
    <t>ADP - Assurance des Personnes</t>
  </si>
  <si>
    <t>DOMADP - Dommages</t>
  </si>
  <si>
    <t>RETBAG - Retard dans la livraison des bagages</t>
  </si>
  <si>
    <t>REMFRA - Remboursement franchise du véhicule de location</t>
  </si>
  <si>
    <t>BAGAGE - Dommages aux bagages</t>
  </si>
  <si>
    <t>VOL - Vol, perte, destruction ou détérioration</t>
  </si>
  <si>
    <t>OBJVAL - Vol/ Objets de valeur</t>
  </si>
  <si>
    <t>ANVOY - Annulation du voyage(ou du déplacement professionel)</t>
  </si>
  <si>
    <t>ANVOY - Annulation du déplacement professionnel</t>
  </si>
  <si>
    <t>IA - Garantie Individuelle Accident</t>
  </si>
  <si>
    <t>DCAC - Décès suite à Accident</t>
  </si>
  <si>
    <t>TARDC - Garanties Complémentaires Décès</t>
  </si>
  <si>
    <t>ACAE - Complément accident aérien</t>
  </si>
  <si>
    <t>COMFAM - Complément Famille</t>
  </si>
  <si>
    <t>DCCON - Décès du conjoint suite à accident</t>
  </si>
  <si>
    <t>DCENF - Décès d'un enfant à charge suite à accident</t>
  </si>
  <si>
    <t>IPTAC - Invalidité Permanente Totale ou partielle suite à Accident (selon barème)</t>
  </si>
  <si>
    <t>TARIP - Garanties Complémentaires Invalidité Permanenrtes</t>
  </si>
  <si>
    <t>CADVI - Frais d'aménagement du cadre de vie</t>
  </si>
  <si>
    <t>IPCON - Invalidité Permanente du conjoint suite à accident</t>
  </si>
  <si>
    <t>IPENF - Invalidité permanente d'un enfant à charge suite à accident</t>
  </si>
  <si>
    <t>COMA - Indemnités Journalières en cas de Coma suite à Accident</t>
  </si>
  <si>
    <t>HSPAC - Indemnités Journalières en cas d'hospitalisation suite à Accident</t>
  </si>
  <si>
    <t>HSPML - Hospitalisation suite à maladie</t>
  </si>
  <si>
    <t>FRMEET - Frais médicaux à l'étranger</t>
  </si>
  <si>
    <t>FRHF - Frais médicaux en France suite à hospitalisation à l'étranger</t>
  </si>
  <si>
    <t>TARADP - Autres Garanties Complémentaires</t>
  </si>
  <si>
    <t>ACCPSY - Accompagnement psychologique</t>
  </si>
  <si>
    <t>PREJES - Préjudice Esthétique</t>
  </si>
  <si>
    <t>OTAGE - Prise d'otage</t>
  </si>
  <si>
    <t>ASSIST - Assistance</t>
  </si>
  <si>
    <t>MONDAS - Mondial Assistance</t>
  </si>
  <si>
    <t>EURASS - Europ Assistance</t>
  </si>
  <si>
    <t>VOLECH - Vol, perte, destruction des échantillons</t>
  </si>
  <si>
    <t>UTSIM - Utilisation frauduleuse de la carte SIM</t>
  </si>
  <si>
    <t>RCVPK - Responsabilité Civile Vie Privée</t>
  </si>
  <si>
    <t>USACAN - Extension géographique USA-Canada</t>
  </si>
  <si>
    <t>INTOX - Intoxication alimentaire</t>
  </si>
  <si>
    <t xml:space="preserve">         Garantie 2</t>
  </si>
  <si>
    <t xml:space="preserve">                  Garantie 3</t>
  </si>
  <si>
    <t>Extension</t>
  </si>
  <si>
    <t>PER</t>
  </si>
  <si>
    <t>90</t>
  </si>
  <si>
    <t>J</t>
  </si>
  <si>
    <t>FA1</t>
  </si>
  <si>
    <t>10</t>
  </si>
  <si>
    <t>ABS</t>
  </si>
  <si>
    <t>REL</t>
  </si>
  <si>
    <t>XXX</t>
  </si>
  <si>
    <t>40</t>
  </si>
  <si>
    <t>COY</t>
  </si>
  <si>
    <t>1500</t>
  </si>
  <si>
    <t>SEU</t>
  </si>
  <si>
    <t>LAG</t>
  </si>
  <si>
    <t>LAK</t>
  </si>
  <si>
    <t>LAO</t>
  </si>
  <si>
    <t>LAI</t>
  </si>
  <si>
    <t>LAH</t>
  </si>
  <si>
    <t>LAQ</t>
  </si>
  <si>
    <t>LAP</t>
  </si>
  <si>
    <t>LA8</t>
  </si>
  <si>
    <t>1000000</t>
  </si>
  <si>
    <t>LAJ</t>
  </si>
  <si>
    <t>4500</t>
  </si>
  <si>
    <t>LAB</t>
  </si>
  <si>
    <t>LAL</t>
  </si>
  <si>
    <t>LAE</t>
  </si>
  <si>
    <t>1000</t>
  </si>
  <si>
    <t>LG0</t>
  </si>
  <si>
    <t>700</t>
  </si>
  <si>
    <t>8000</t>
  </si>
  <si>
    <t>LAN</t>
  </si>
  <si>
    <t>7500000</t>
  </si>
  <si>
    <t>GIE</t>
  </si>
  <si>
    <t>1500000</t>
  </si>
  <si>
    <t>18</t>
  </si>
  <si>
    <t>2,1</t>
  </si>
  <si>
    <t>2,5</t>
  </si>
  <si>
    <t>CLI</t>
  </si>
  <si>
    <t>MSA</t>
  </si>
  <si>
    <t>SIT</t>
  </si>
  <si>
    <t>VEH</t>
  </si>
  <si>
    <t>VMO</t>
  </si>
  <si>
    <t>RADP1</t>
  </si>
  <si>
    <t>OADP5</t>
  </si>
  <si>
    <t>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</si>
</sst>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5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49" fontId="0" fillId="0" borderId="0" xfId="0" applyNumberFormat="1" applyProtection="1">
      <protection locked="0"/>
    </xf>
    <xf numFmtId="49" fontId="0" fillId="9" borderId="0" xfId="0" applyNumberFormat="1" applyFill="1" applyProtection="1"/>
    <xf numFmtId="49" fontId="0" fillId="0" borderId="0" xfId="0" applyNumberFormat="1" applyFill="1" applyProtection="1"/>
    <xf numFmtId="49" fontId="0" fillId="0" borderId="0" xfId="0" applyNumberFormat="1" applyFill="1" applyProtection="1">
      <protection locked="0"/>
    </xf>
    <xf numFmtId="49" fontId="0" fillId="0" borderId="0" xfId="0" applyNumberFormat="1" applyProtection="1"/>
    <xf numFmtId="49" fontId="0" fillId="0" borderId="0" xfId="0" applyNumberFormat="1" applyFill="1" applyAlignment="1" applyProtection="1">
      <alignment horizontal="right"/>
      <protection locked="0"/>
    </xf>
    <xf numFmtId="49" fontId="0" fillId="10" borderId="0" xfId="0" applyNumberFormat="1" applyFill="1" applyProtection="1"/>
    <xf numFmtId="14" fontId="0" fillId="0" borderId="0" xfId="0" applyNumberFormat="1" applyFill="1" applyProtection="1">
      <protection locked="0"/>
    </xf>
    <xf numFmtId="14" fontId="0" fillId="0" borderId="0" xfId="0" applyNumberFormat="1" applyProtection="1">
      <protection locked="0"/>
    </xf>
    <xf numFmtId="49" fontId="2" fillId="0" borderId="0" xfId="0" applyNumberFormat="1" applyFont="1" applyAlignment="1" applyProtection="1">
      <alignment horizontal="center"/>
    </xf>
    <xf numFmtId="49" fontId="0" fillId="3" borderId="0" xfId="0" applyNumberFormat="1" applyFill="1" applyProtection="1"/>
    <xf numFmtId="49" fontId="0" fillId="4" borderId="0" xfId="0" applyNumberFormat="1" applyFill="1" applyProtection="1"/>
    <xf numFmtId="49" fontId="3" fillId="4" borderId="0" xfId="0" applyNumberFormat="1" applyFont="1" applyFill="1" applyAlignment="1" applyProtection="1">
      <alignment horizontal="right"/>
    </xf>
    <xf numFmtId="49" fontId="1" fillId="0" borderId="0" xfId="0" applyNumberFormat="1" applyFont="1" applyAlignment="1" applyProtection="1">
      <alignment horizontal="right"/>
    </xf>
    <xf numFmtId="49" fontId="3" fillId="0" borderId="0" xfId="0" applyNumberFormat="1" applyFont="1" applyProtection="1"/>
    <xf numFmtId="49" fontId="3" fillId="4" borderId="0" xfId="0" applyNumberFormat="1" applyFont="1" applyFill="1" applyProtection="1"/>
    <xf numFmtId="49" fontId="4" fillId="4" borderId="0" xfId="0" applyNumberFormat="1" applyFont="1" applyFill="1" applyProtection="1"/>
    <xf numFmtId="49" fontId="0" fillId="0" borderId="0" xfId="0" applyNumberFormat="1" applyFill="1" applyBorder="1" applyAlignment="1" applyProtection="1">
      <alignment horizontal="center" wrapText="1"/>
    </xf>
    <xf numFmtId="49" fontId="1" fillId="4" borderId="0" xfId="0" applyNumberFormat="1" applyFont="1" applyFill="1" applyProtection="1"/>
    <xf numFmtId="49" fontId="3" fillId="5" borderId="0" xfId="0" applyNumberFormat="1" applyFont="1" applyFill="1" applyProtection="1"/>
    <xf numFmtId="49" fontId="0" fillId="5" borderId="0" xfId="0" applyNumberFormat="1" applyFill="1" applyProtection="1"/>
    <xf numFmtId="49" fontId="0" fillId="4" borderId="0" xfId="0" applyNumberFormat="1" applyFill="1" applyAlignment="1" applyProtection="1">
      <alignment horizontal="center"/>
    </xf>
    <xf numFmtId="49" fontId="0" fillId="0" borderId="0" xfId="0" applyNumberFormat="1" applyFill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49" fontId="3" fillId="6" borderId="0" xfId="0" applyNumberFormat="1" applyFont="1" applyFill="1" applyProtection="1"/>
    <xf numFmtId="49" fontId="0" fillId="6" borderId="0" xfId="0" applyNumberFormat="1" applyFill="1" applyProtection="1"/>
    <xf numFmtId="49" fontId="0" fillId="7" borderId="0" xfId="0" applyNumberFormat="1" applyFill="1" applyProtection="1"/>
    <xf numFmtId="49" fontId="3" fillId="4" borderId="0" xfId="0" applyNumberFormat="1" applyFont="1" applyFill="1" applyAlignment="1" applyProtection="1"/>
    <xf numFmtId="0" fontId="0" fillId="0" borderId="0" xfId="0" applyNumberFormat="1" applyFill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0" fillId="0" borderId="0" xfId="0" applyNumberFormat="1" applyFill="1" applyAlignment="1" applyProtection="1">
      <alignment horizontal="center"/>
      <protection locked="0"/>
    </xf>
    <xf numFmtId="0" fontId="0" fillId="10" borderId="0" xfId="0" applyNumberFormat="1" applyFill="1" applyAlignment="1" applyProtection="1">
      <alignment horizontal="center"/>
    </xf>
    <xf numFmtId="0" fontId="0" fillId="0" borderId="0" xfId="0" applyNumberFormat="1" applyProtection="1"/>
    <xf numFmtId="0" fontId="0" fillId="0" borderId="0" xfId="0" applyNumberFormat="1" applyProtection="1">
      <protection locked="0"/>
    </xf>
    <xf numFmtId="0" fontId="0" fillId="10" borderId="0" xfId="0" applyNumberFormat="1" applyFill="1" applyProtection="1"/>
    <xf numFmtId="0" fontId="0" fillId="10" borderId="0" xfId="0" applyNumberFormat="1" applyFill="1" applyProtection="1">
      <protection locked="0"/>
    </xf>
    <xf numFmtId="0" fontId="0" fillId="10" borderId="0" xfId="0" applyNumberFormat="1" applyFill="1" applyAlignment="1" applyProtection="1">
      <alignment horizontal="center"/>
      <protection locked="0"/>
    </xf>
    <xf numFmtId="0" fontId="0" fillId="0" borderId="0" xfId="0" applyNumberFormat="1" applyFill="1" applyProtection="1"/>
    <xf numFmtId="0" fontId="0" fillId="0" borderId="0" xfId="0" applyNumberFormat="1" applyFill="1" applyProtection="1">
      <protection locked="0"/>
    </xf>
    <xf numFmtId="49" fontId="0" fillId="6" borderId="0" xfId="0" applyNumberFormat="1" applyFill="1" applyAlignment="1" applyProtection="1">
      <alignment horizontal="center"/>
    </xf>
    <xf numFmtId="1" fontId="0" fillId="0" borderId="0" xfId="0" applyNumberFormat="1" applyProtection="1">
      <protection locked="0"/>
    </xf>
    <xf numFmtId="14" fontId="0" fillId="10" borderId="0" xfId="0" applyNumberFormat="1" applyFill="1" applyProtection="1"/>
    <xf numFmtId="14" fontId="0" fillId="10" borderId="0" xfId="0" applyNumberFormat="1" applyFill="1" applyAlignment="1" applyProtection="1">
      <alignment horizontal="center"/>
    </xf>
    <xf numFmtId="49" fontId="0" fillId="9" borderId="0" xfId="0" applyNumberFormat="1" applyFill="1" applyProtection="1">
      <protection locked="0"/>
    </xf>
    <xf numFmtId="14" fontId="6" fillId="0" borderId="0" xfId="0" applyNumberFormat="1" applyFont="1" applyFill="1" applyProtection="1">
      <protection locked="0"/>
    </xf>
    <xf numFmtId="14" fontId="0" fillId="0" borderId="0" xfId="0" applyNumberFormat="1" applyProtection="1"/>
    <xf numFmtId="1" fontId="0" fillId="10" borderId="0" xfId="0" applyNumberFormat="1" applyFill="1" applyProtection="1"/>
    <xf numFmtId="0" fontId="5" fillId="0" borderId="0" xfId="0" applyNumberFormat="1" applyFont="1" applyAlignment="1" applyProtection="1">
      <alignment horizontal="center"/>
    </xf>
    <xf numFmtId="49" fontId="0" fillId="5" borderId="0" xfId="0" applyNumberFormat="1" applyFill="1" applyAlignment="1" applyProtection="1">
      <alignment horizontal="center"/>
    </xf>
    <xf numFmtId="49" fontId="2" fillId="0" borderId="0" xfId="0" applyNumberFormat="1" applyFont="1" applyAlignment="1" applyProtection="1">
      <alignment horizontal="center"/>
    </xf>
    <xf numFmtId="49" fontId="0" fillId="8" borderId="3" xfId="0" applyNumberFormat="1" applyFill="1" applyBorder="1" applyAlignment="1" applyProtection="1">
      <alignment horizontal="center" wrapText="1"/>
    </xf>
    <xf numFmtId="49" fontId="0" fillId="8" borderId="6" xfId="0" applyNumberFormat="1" applyFill="1" applyBorder="1" applyAlignment="1" applyProtection="1">
      <alignment horizontal="center" wrapText="1"/>
    </xf>
    <xf numFmtId="49" fontId="0" fillId="8" borderId="5" xfId="0" applyNumberFormat="1" applyFill="1" applyBorder="1" applyAlignment="1" applyProtection="1">
      <alignment horizontal="center" wrapText="1"/>
    </xf>
    <xf numFmtId="49" fontId="0" fillId="8" borderId="7" xfId="0" applyNumberFormat="1" applyFill="1" applyBorder="1" applyAlignment="1" applyProtection="1">
      <alignment horizontal="center" wrapText="1"/>
    </xf>
    <xf numFmtId="49" fontId="1" fillId="2" borderId="3" xfId="0" applyNumberFormat="1" applyFont="1" applyFill="1" applyBorder="1" applyAlignment="1" applyProtection="1">
      <alignment horizontal="center" vertical="center" wrapText="1"/>
    </xf>
    <xf numFmtId="49" fontId="1" fillId="2" borderId="4" xfId="0" applyNumberFormat="1" applyFont="1" applyFill="1" applyBorder="1" applyAlignment="1" applyProtection="1">
      <alignment horizontal="center" vertical="center" wrapText="1"/>
    </xf>
    <xf numFmtId="49" fontId="1" fillId="2" borderId="5" xfId="0" applyNumberFormat="1" applyFont="1" applyFill="1" applyBorder="1" applyAlignment="1" applyProtection="1">
      <alignment horizontal="center" vertical="center" wrapText="1"/>
    </xf>
    <xf numFmtId="0" fontId="0" fillId="4" borderId="0" xfId="0" applyNumberFormat="1" applyFill="1" applyAlignment="1" applyProtection="1">
      <alignment horizontal="center" textRotation="90"/>
    </xf>
    <xf numFmtId="49" fontId="1" fillId="3" borderId="1" xfId="0" applyNumberFormat="1" applyFont="1" applyFill="1" applyBorder="1" applyAlignment="1" applyProtection="1">
      <alignment horizontal="center" vertical="center" textRotation="90" wrapText="1"/>
    </xf>
    <xf numFmtId="49" fontId="1" fillId="3" borderId="2" xfId="0" applyNumberFormat="1" applyFont="1" applyFill="1" applyBorder="1" applyAlignment="1" applyProtection="1">
      <alignment horizontal="center" vertical="center" textRotation="90" wrapText="1"/>
    </xf>
    <xf numFmtId="49" fontId="0" fillId="4" borderId="0" xfId="0" applyNumberFormat="1" applyFill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P$34" lockText="1" noThreeD="1"/>
</file>

<file path=xl/ctrlProps/ctrlProp2.xml><?xml version="1.0" encoding="utf-8"?>
<formControlPr xmlns="http://schemas.microsoft.com/office/spreadsheetml/2009/9/main" objectType="CheckBox" checked="Checked" fmlaLink="$P$40" lockText="1" noThreeD="1"/>
</file>

<file path=xl/ctrlProps/ctrlProp3.xml><?xml version="1.0" encoding="utf-8"?>
<formControlPr xmlns="http://schemas.microsoft.com/office/spreadsheetml/2009/9/main" objectType="CheckBox" checked="Checked" fmlaLink="$P$47" lockText="1" noThreeD="1"/>
</file>

<file path=xl/ctrlProps/ctrlProp4.xml><?xml version="1.0" encoding="utf-8"?>
<formControlPr xmlns="http://schemas.microsoft.com/office/spreadsheetml/2009/9/main" objectType="CheckBox" checked="Checked" fmlaLink="$P$48" lockText="1" noThreeD="1"/>
</file>

<file path=xl/ctrlProps/ctrlProp5.xml><?xml version="1.0" encoding="utf-8"?>
<formControlPr xmlns="http://schemas.microsoft.com/office/spreadsheetml/2009/9/main" objectType="CheckBox" checked="Checked" fmlaLink="$P$49" lockText="1" noThreeD="1"/>
</file>

<file path=xl/ctrlProps/ctrlProp6.xml><?xml version="1.0" encoding="utf-8"?>
<formControlPr xmlns="http://schemas.microsoft.com/office/spreadsheetml/2009/9/main" objectType="CheckBox" checked="Checked" fmlaLink="$P$50" lockText="1" noThreeD="1"/>
</file>

<file path=xl/ctrlProps/ctrlProp7.xml><?xml version="1.0" encoding="utf-8"?>
<formControlPr xmlns="http://schemas.microsoft.com/office/spreadsheetml/2009/9/main" objectType="CheckBox" checked="Checked" fmlaLink="$P$51" lockText="1" noThreeD="1"/>
</file>

<file path=xl/ctrlProps/ctrlProp8.xml><?xml version="1.0" encoding="utf-8"?>
<formControlPr xmlns="http://schemas.microsoft.com/office/spreadsheetml/2009/9/main" objectType="CheckBox" checked="Checked" fmlaLink="$P$52" lockText="1" noThreeD="1"/>
</file>

<file path=xl/ctrlProps/ctrlProp9.xml><?xml version="1.0" encoding="utf-8"?>
<formControlPr xmlns="http://schemas.microsoft.com/office/spreadsheetml/2009/9/main" objectType="CheckBox" checked="Checked" fmlaLink="$P$53" lockText="1" noThreeD="1"/>
</file>

<file path=xl/ctrlProps/ctrlProp10.xml><?xml version="1.0" encoding="utf-8"?>
<formControlPr xmlns="http://schemas.microsoft.com/office/spreadsheetml/2009/9/main" objectType="CheckBox" checked="Checked" fmlaLink="$P$68" lockText="1" noThreeD="1"/>
</file>

<file path=xl/ctrlProps/ctrlProp11.xml><?xml version="1.0" encoding="utf-8"?>
<formControlPr xmlns="http://schemas.microsoft.com/office/spreadsheetml/2009/9/main" objectType="CheckBox" checked="Checked" fmlaLink="$P$69" lockText="1" noThreeD="1"/>
</file>

<file path=xl/ctrlProps/ctrlProp12.xml><?xml version="1.0" encoding="utf-8"?>
<formControlPr xmlns="http://schemas.microsoft.com/office/spreadsheetml/2009/9/main" objectType="CheckBox" checked="Checked" fmlaLink="$P$70" lockText="1" noThreeD="1"/>
</file>

<file path=xl/ctrlProps/ctrlProp13.xml><?xml version="1.0" encoding="utf-8"?>
<formControlPr xmlns="http://schemas.microsoft.com/office/spreadsheetml/2009/9/main" objectType="CheckBox" checked="Checked" fmlaLink="$P$72" lockText="1" noThreeD="1"/>
</file>

<file path=xl/ctrlProps/ctrlProp14.xml><?xml version="1.0" encoding="utf-8"?>
<formControlPr xmlns="http://schemas.microsoft.com/office/spreadsheetml/2009/9/main" objectType="CheckBox" checked="Checked" fmlaLink="$P$73" lockText="1" noThreeD="1"/>
</file>

<file path=xl/ctrlProps/ctrlProp15.xml><?xml version="1.0" encoding="utf-8"?>
<formControlPr xmlns="http://schemas.microsoft.com/office/spreadsheetml/2009/9/main" objectType="CheckBox" checked="Checked" fmlaLink="$P$74" lockText="1" noThreeD="1"/>
</file>

<file path=xl/ctrlProps/ctrlProp16.xml><?xml version="1.0" encoding="utf-8"?>
<formControlPr xmlns="http://schemas.microsoft.com/office/spreadsheetml/2009/9/main" objectType="CheckBox" checked="Checked" fmlaLink="$P$75" lockText="1" noThreeD="1"/>
</file>

<file path=xl/ctrlProps/ctrlProp17.xml><?xml version="1.0" encoding="utf-8"?>
<formControlPr xmlns="http://schemas.microsoft.com/office/spreadsheetml/2009/9/main" objectType="CheckBox" checked="Checked" fmlaLink="$P$76" lockText="1" noThreeD="1"/>
</file>

<file path=xl/ctrlProps/ctrlProp18.xml><?xml version="1.0" encoding="utf-8"?>
<formControlPr xmlns="http://schemas.microsoft.com/office/spreadsheetml/2009/9/main" objectType="CheckBox" checked="Checked" fmlaLink="$P$77" lockText="1" noThreeD="1"/>
</file>

<file path=xl/ctrlProps/ctrlProp19.xml><?xml version="1.0" encoding="utf-8"?>
<formControlPr xmlns="http://schemas.microsoft.com/office/spreadsheetml/2009/9/main" objectType="CheckBox" checked="Checked" fmlaLink="$P$78" lockText="1" noThreeD="1"/>
</file>

<file path=xl/ctrlProps/ctrlProp20.xml><?xml version="1.0" encoding="utf-8"?>
<formControlPr xmlns="http://schemas.microsoft.com/office/spreadsheetml/2009/9/main" objectType="CheckBox" checked="Checked" fmlaLink="$P$79" lockText="1" noThreeD="1"/>
</file>

<file path=xl/ctrlProps/ctrlProp21.xml><?xml version="1.0" encoding="utf-8"?>
<formControlPr xmlns="http://schemas.microsoft.com/office/spreadsheetml/2009/9/main" objectType="CheckBox" checked="Checked" fmlaLink="$P$80" lockText="1" noThreeD="1"/>
</file>

<file path=xl/ctrlProps/ctrlProp22.xml><?xml version="1.0" encoding="utf-8"?>
<formControlPr xmlns="http://schemas.microsoft.com/office/spreadsheetml/2009/9/main" objectType="CheckBox" checked="Checked" fmlaLink="$P$82" lockText="1" noThreeD="1"/>
</file>

<file path=xl/ctrlProps/ctrlProp23.xml><?xml version="1.0" encoding="utf-8"?>
<formControlPr xmlns="http://schemas.microsoft.com/office/spreadsheetml/2009/9/main" objectType="CheckBox" checked="Checked" fmlaLink="$P$81" lockText="1" noThreeD="1"/>
</file>

<file path=xl/ctrlProps/ctrlProp24.xml><?xml version="1.0" encoding="utf-8"?>
<formControlPr xmlns="http://schemas.microsoft.com/office/spreadsheetml/2009/9/main" objectType="CheckBox" checked="Checked" fmlaLink="$P$83" lockText="1" noThreeD="1"/>
</file>

<file path=xl/ctrlProps/ctrlProp25.xml><?xml version="1.0" encoding="utf-8"?>
<formControlPr xmlns="http://schemas.microsoft.com/office/spreadsheetml/2009/9/main" objectType="CheckBox" fmlaLink="$P$71" lockText="1" noThreeD="1"/>
</file>

<file path=xl/ctrlProps/ctrlProp26.xml><?xml version="1.0" encoding="utf-8"?>
<formControlPr xmlns="http://schemas.microsoft.com/office/spreadsheetml/2009/9/main" objectType="CheckBox" checked="Checked" fmlaLink="$P$54" lockText="1" noThreeD="1"/>
</file>

<file path=xl/ctrlProps/ctrlProp27.xml><?xml version="1.0" encoding="utf-8"?>
<formControlPr xmlns="http://schemas.microsoft.com/office/spreadsheetml/2009/9/main" objectType="CheckBox" checked="Checked" fmlaLink="$P$55" lockText="1" noThreeD="1"/>
</file>

<file path=xl/ctrlProps/ctrlProp28.xml><?xml version="1.0" encoding="utf-8"?>
<formControlPr xmlns="http://schemas.microsoft.com/office/spreadsheetml/2009/9/main" objectType="CheckBox" checked="Checked" fmlaLink="$P$56" lockText="1" noThreeD="1"/>
</file>

<file path=xl/ctrlProps/ctrlProp29.xml><?xml version="1.0" encoding="utf-8"?>
<formControlPr xmlns="http://schemas.microsoft.com/office/spreadsheetml/2009/9/main" objectType="CheckBox" checked="Checked" fmlaLink="$P$57" lockText="1" noThreeD="1"/>
</file>

<file path=xl/ctrlProps/ctrlProp30.xml><?xml version="1.0" encoding="utf-8"?>
<formControlPr xmlns="http://schemas.microsoft.com/office/spreadsheetml/2009/9/main" objectType="CheckBox" checked="Checked" fmlaLink="$P$58" lockText="1" noThreeD="1"/>
</file>

<file path=xl/ctrlProps/ctrlProp31.xml><?xml version="1.0" encoding="utf-8"?>
<formControlPr xmlns="http://schemas.microsoft.com/office/spreadsheetml/2009/9/main" objectType="CheckBox" checked="Checked" fmlaLink="$P$59" lockText="1" noThreeD="1"/>
</file>

<file path=xl/ctrlProps/ctrlProp32.xml><?xml version="1.0" encoding="utf-8"?>
<formControlPr xmlns="http://schemas.microsoft.com/office/spreadsheetml/2009/9/main" objectType="CheckBox" checked="Checked" fmlaLink="$P$60" lockText="1" noThreeD="1"/>
</file>

<file path=xl/ctrlProps/ctrlProp33.xml><?xml version="1.0" encoding="utf-8"?>
<formControlPr xmlns="http://schemas.microsoft.com/office/spreadsheetml/2009/9/main" objectType="CheckBox" checked="Checked" fmlaLink="$P$61" lockText="1" noThreeD="1"/>
</file>

<file path=xl/ctrlProps/ctrlProp34.xml><?xml version="1.0" encoding="utf-8"?>
<formControlPr xmlns="http://schemas.microsoft.com/office/spreadsheetml/2009/9/main" objectType="CheckBox" checked="Checked" fmlaLink="$P$62" lockText="1" noThreeD="1"/>
</file>

<file path=xl/ctrlProps/ctrlProp35.xml><?xml version="1.0" encoding="utf-8"?>
<formControlPr xmlns="http://schemas.microsoft.com/office/spreadsheetml/2009/9/main" objectType="CheckBox" checked="Checked" fmlaLink="$P$63" lockText="1" noThreeD="1"/>
</file>

<file path=xl/ctrlProps/ctrlProp36.xml><?xml version="1.0" encoding="utf-8"?>
<formControlPr xmlns="http://schemas.microsoft.com/office/spreadsheetml/2009/9/main" objectType="CheckBox" checked="Checked" fmlaLink="$P$64" lockText="1" noThreeD="1"/>
</file>

<file path=xl/ctrlProps/ctrlProp37.xml><?xml version="1.0" encoding="utf-8"?>
<formControlPr xmlns="http://schemas.microsoft.com/office/spreadsheetml/2009/9/main" objectType="CheckBox" checked="Checked" fmlaLink="$P$65" lockText="1" noThreeD="1"/>
</file>

<file path=xl/ctrlProps/ctrlProp38.xml><?xml version="1.0" encoding="utf-8"?>
<formControlPr xmlns="http://schemas.microsoft.com/office/spreadsheetml/2009/9/main" objectType="CheckBox" checked="Checked" fmlaLink="$P$66" lockText="1" noThreeD="1"/>
</file>

<file path=xl/ctrlProps/ctrlProp39.xml><?xml version="1.0" encoding="utf-8"?>
<formControlPr xmlns="http://schemas.microsoft.com/office/spreadsheetml/2009/9/main" objectType="CheckBox" checked="Checked" fmlaLink="$P$67" lockText="1" noThreeD="1"/>
</file>

<file path=xl/ctrlProps/ctrlProp40.xml><?xml version="1.0" encoding="utf-8"?>
<formControlPr xmlns="http://schemas.microsoft.com/office/spreadsheetml/2009/9/main" objectType="CheckBox" checked="Checked" fmlaLink="$P$84" lockText="1" noThreeD="1"/>
</file>

<file path=xl/ctrlProps/ctrlProp41.xml><?xml version="1.0" encoding="utf-8"?>
<formControlPr xmlns="http://schemas.microsoft.com/office/spreadsheetml/2009/9/main" objectType="CheckBox" checked="Checked" fmlaLink="$P$85" lockText="1" noThreeD="1"/>
</file>

<file path=xl/ctrlProps/ctrlProp42.xml><?xml version="1.0" encoding="utf-8"?>
<formControlPr xmlns="http://schemas.microsoft.com/office/spreadsheetml/2009/9/main" objectType="CheckBox" checked="Checked" fmlaLink="$P$86" lockText="1" noThreeD="1"/>
</file>

<file path=xl/ctrlProps/ctrlProp43.xml><?xml version="1.0" encoding="utf-8"?>
<formControlPr xmlns="http://schemas.microsoft.com/office/spreadsheetml/2009/9/main" objectType="CheckBox" checked="Checked" fmlaLink="$P$87" lockText="1" noThreeD="1"/>
</file>

<file path=xl/ctrlProps/ctrlProp44.xml><?xml version="1.0" encoding="utf-8"?>
<formControlPr xmlns="http://schemas.microsoft.com/office/spreadsheetml/2009/9/main" objectType="CheckBox" checked="Checked" fmlaLink="$P$8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32</xdr:row>
          <xdr:rowOff>180975</xdr:rowOff>
        </xdr:from>
        <xdr:to>
          <xdr:col>16</xdr:col>
          <xdr:colOff>323850</xdr:colOff>
          <xdr:row>34</xdr:row>
          <xdr:rowOff>9525</xdr:rowOff>
        </xdr:to>
        <xdr:sp macro="" textlink="">
          <xdr:nvSpPr>
            <xdr:cNvPr id="2016" name="MaCB" hidden="1">
              <a:extLst>
                <a:ext uri="{63B3BB69-23CF-44E3-9099-C40C66FF867C}">
                  <a14:compatExt spid="_x0000_s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39</xdr:row>
          <xdr:rowOff>19050</xdr:rowOff>
        </xdr:from>
        <xdr:to>
          <xdr:col>16</xdr:col>
          <xdr:colOff>285750</xdr:colOff>
          <xdr:row>40</xdr:row>
          <xdr:rowOff>19050</xdr:rowOff>
        </xdr:to>
        <xdr:sp macro="" textlink="">
          <xdr:nvSpPr>
            <xdr:cNvPr id="2017" name="Obj1CB" hidden="1">
              <a:extLst>
                <a:ext uri="{63B3BB69-23CF-44E3-9099-C40C66FF867C}">
                  <a14:compatExt spid="_x0000_s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46</xdr:row>
          <xdr:rowOff>9525</xdr:rowOff>
        </xdr:from>
        <xdr:to>
          <xdr:col>16</xdr:col>
          <xdr:colOff>276225</xdr:colOff>
          <xdr:row>47</xdr:row>
          <xdr:rowOff>9525</xdr:rowOff>
        </xdr:to>
        <xdr:sp macro="" textlink="">
          <xdr:nvSpPr>
            <xdr:cNvPr id="2024" name="Vol1CB" hidden="1">
              <a:extLst>
                <a:ext uri="{63B3BB69-23CF-44E3-9099-C40C66FF867C}">
                  <a14:compatExt spid="_x0000_s2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47</xdr:row>
          <xdr:rowOff>0</xdr:rowOff>
        </xdr:from>
        <xdr:to>
          <xdr:col>16</xdr:col>
          <xdr:colOff>276225</xdr:colOff>
          <xdr:row>48</xdr:row>
          <xdr:rowOff>0</xdr:rowOff>
        </xdr:to>
        <xdr:sp macro="" textlink="">
          <xdr:nvSpPr>
            <xdr:cNvPr id="2029" name="Bloc11CB" hidden="1">
              <a:extLst>
                <a:ext uri="{63B3BB69-23CF-44E3-9099-C40C66FF867C}">
                  <a14:compatExt spid="_x0000_s2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48</xdr:row>
          <xdr:rowOff>9525</xdr:rowOff>
        </xdr:from>
        <xdr:to>
          <xdr:col>16</xdr:col>
          <xdr:colOff>276225</xdr:colOff>
          <xdr:row>49</xdr:row>
          <xdr:rowOff>9525</xdr:rowOff>
        </xdr:to>
        <xdr:sp macro="" textlink="">
          <xdr:nvSpPr>
            <xdr:cNvPr id="2030" name="Garantie111CB" hidden="1">
              <a:extLst>
                <a:ext uri="{63B3BB69-23CF-44E3-9099-C40C66FF867C}">
                  <a14:compatExt spid="_x0000_s2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49</xdr:row>
          <xdr:rowOff>9525</xdr:rowOff>
        </xdr:from>
        <xdr:to>
          <xdr:col>16</xdr:col>
          <xdr:colOff>276225</xdr:colOff>
          <xdr:row>50</xdr:row>
          <xdr:rowOff>9525</xdr:rowOff>
        </xdr:to>
        <xdr:sp macro="" textlink="">
          <xdr:nvSpPr>
            <xdr:cNvPr id="2032" name="Garantie112CB" hidden="1">
              <a:extLst>
                <a:ext uri="{63B3BB69-23CF-44E3-9099-C40C66FF867C}">
                  <a14:compatExt spid="_x0000_s2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50</xdr:row>
          <xdr:rowOff>9525</xdr:rowOff>
        </xdr:from>
        <xdr:to>
          <xdr:col>16</xdr:col>
          <xdr:colOff>276225</xdr:colOff>
          <xdr:row>51</xdr:row>
          <xdr:rowOff>9525</xdr:rowOff>
        </xdr:to>
        <xdr:sp macro="" textlink="">
          <xdr:nvSpPr>
            <xdr:cNvPr id="2033" name="Garantie113CB" hidden="1">
              <a:extLst>
                <a:ext uri="{63B3BB69-23CF-44E3-9099-C40C66FF867C}">
                  <a14:compatExt spid="_x0000_s2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51</xdr:row>
          <xdr:rowOff>9525</xdr:rowOff>
        </xdr:from>
        <xdr:to>
          <xdr:col>16</xdr:col>
          <xdr:colOff>276225</xdr:colOff>
          <xdr:row>52</xdr:row>
          <xdr:rowOff>9525</xdr:rowOff>
        </xdr:to>
        <xdr:sp macro="" textlink="">
          <xdr:nvSpPr>
            <xdr:cNvPr id="2034" name="Garantie114CB" hidden="1">
              <a:extLst>
                <a:ext uri="{63B3BB69-23CF-44E3-9099-C40C66FF867C}">
                  <a14:compatExt spid="_x0000_s2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52</xdr:row>
          <xdr:rowOff>19050</xdr:rowOff>
        </xdr:from>
        <xdr:to>
          <xdr:col>16</xdr:col>
          <xdr:colOff>276225</xdr:colOff>
          <xdr:row>53</xdr:row>
          <xdr:rowOff>19050</xdr:rowOff>
        </xdr:to>
        <xdr:sp macro="" textlink="">
          <xdr:nvSpPr>
            <xdr:cNvPr id="2035" name="Garantie115CB" hidden="1">
              <a:extLst>
                <a:ext uri="{63B3BB69-23CF-44E3-9099-C40C66FF867C}">
                  <a14:compatExt spid="_x0000_s2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67</xdr:row>
          <xdr:rowOff>9525</xdr:rowOff>
        </xdr:from>
        <xdr:to>
          <xdr:col>16</xdr:col>
          <xdr:colOff>285750</xdr:colOff>
          <xdr:row>68</xdr:row>
          <xdr:rowOff>9525</xdr:rowOff>
        </xdr:to>
        <xdr:sp macro="" textlink="">
          <xdr:nvSpPr>
            <xdr:cNvPr id="2036" name="Garantie1120CB" hidden="1">
              <a:extLst>
                <a:ext uri="{63B3BB69-23CF-44E3-9099-C40C66FF867C}">
                  <a14:compatExt spid="_x0000_s2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68</xdr:row>
          <xdr:rowOff>9525</xdr:rowOff>
        </xdr:from>
        <xdr:to>
          <xdr:col>16</xdr:col>
          <xdr:colOff>285750</xdr:colOff>
          <xdr:row>69</xdr:row>
          <xdr:rowOff>9525</xdr:rowOff>
        </xdr:to>
        <xdr:sp macro="" textlink="">
          <xdr:nvSpPr>
            <xdr:cNvPr id="2037" name="Bloc12CB" hidden="1">
              <a:extLst>
                <a:ext uri="{63B3BB69-23CF-44E3-9099-C40C66FF867C}">
                  <a14:compatExt spid="_x0000_s2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69</xdr:row>
          <xdr:rowOff>0</xdr:rowOff>
        </xdr:from>
        <xdr:to>
          <xdr:col>16</xdr:col>
          <xdr:colOff>285750</xdr:colOff>
          <xdr:row>70</xdr:row>
          <xdr:rowOff>0</xdr:rowOff>
        </xdr:to>
        <xdr:sp macro="" textlink="">
          <xdr:nvSpPr>
            <xdr:cNvPr id="2038" name="Garantie121CB" hidden="1">
              <a:extLst>
                <a:ext uri="{63B3BB69-23CF-44E3-9099-C40C66FF867C}">
                  <a14:compatExt spid="_x0000_s2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71</xdr:row>
          <xdr:rowOff>9525</xdr:rowOff>
        </xdr:from>
        <xdr:to>
          <xdr:col>16</xdr:col>
          <xdr:colOff>285750</xdr:colOff>
          <xdr:row>72</xdr:row>
          <xdr:rowOff>9525</xdr:rowOff>
        </xdr:to>
        <xdr:sp macro="" textlink="">
          <xdr:nvSpPr>
            <xdr:cNvPr id="5162" name="Bloc13CB" hidden="1">
              <a:extLst>
                <a:ext uri="{63B3BB69-23CF-44E3-9099-C40C66FF867C}">
                  <a14:compatExt spid="_x0000_s5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72</xdr:row>
          <xdr:rowOff>9525</xdr:rowOff>
        </xdr:from>
        <xdr:to>
          <xdr:col>16</xdr:col>
          <xdr:colOff>285750</xdr:colOff>
          <xdr:row>73</xdr:row>
          <xdr:rowOff>9525</xdr:rowOff>
        </xdr:to>
        <xdr:sp macro="" textlink="">
          <xdr:nvSpPr>
            <xdr:cNvPr id="5164" name="Garantie131CB" hidden="1">
              <a:extLst>
                <a:ext uri="{63B3BB69-23CF-44E3-9099-C40C66FF867C}">
                  <a14:compatExt spid="_x0000_s5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73</xdr:row>
          <xdr:rowOff>19050</xdr:rowOff>
        </xdr:from>
        <xdr:to>
          <xdr:col>16</xdr:col>
          <xdr:colOff>285750</xdr:colOff>
          <xdr:row>74</xdr:row>
          <xdr:rowOff>19050</xdr:rowOff>
        </xdr:to>
        <xdr:sp macro="" textlink="">
          <xdr:nvSpPr>
            <xdr:cNvPr id="5166" name="Garantie1311CB" hidden="1">
              <a:extLst>
                <a:ext uri="{63B3BB69-23CF-44E3-9099-C40C66FF867C}">
                  <a14:compatExt spid="_x0000_s5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74</xdr:row>
          <xdr:rowOff>19050</xdr:rowOff>
        </xdr:from>
        <xdr:to>
          <xdr:col>16</xdr:col>
          <xdr:colOff>285750</xdr:colOff>
          <xdr:row>75</xdr:row>
          <xdr:rowOff>19050</xdr:rowOff>
        </xdr:to>
        <xdr:sp macro="" textlink="">
          <xdr:nvSpPr>
            <xdr:cNvPr id="5168" name="Garantie1312CB" hidden="1">
              <a:extLst>
                <a:ext uri="{63B3BB69-23CF-44E3-9099-C40C66FF867C}">
                  <a14:compatExt spid="_x0000_s5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75</xdr:row>
          <xdr:rowOff>28575</xdr:rowOff>
        </xdr:from>
        <xdr:to>
          <xdr:col>16</xdr:col>
          <xdr:colOff>285750</xdr:colOff>
          <xdr:row>76</xdr:row>
          <xdr:rowOff>28575</xdr:rowOff>
        </xdr:to>
        <xdr:sp macro="" textlink="">
          <xdr:nvSpPr>
            <xdr:cNvPr id="5169" name="Garantie132CB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76</xdr:row>
          <xdr:rowOff>28575</xdr:rowOff>
        </xdr:from>
        <xdr:to>
          <xdr:col>16</xdr:col>
          <xdr:colOff>285750</xdr:colOff>
          <xdr:row>77</xdr:row>
          <xdr:rowOff>28575</xdr:rowOff>
        </xdr:to>
        <xdr:sp macro="" textlink="">
          <xdr:nvSpPr>
            <xdr:cNvPr id="5170" name="Garantie133CB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77</xdr:row>
          <xdr:rowOff>28575</xdr:rowOff>
        </xdr:from>
        <xdr:to>
          <xdr:col>16</xdr:col>
          <xdr:colOff>285750</xdr:colOff>
          <xdr:row>78</xdr:row>
          <xdr:rowOff>28575</xdr:rowOff>
        </xdr:to>
        <xdr:sp macro="" textlink="">
          <xdr:nvSpPr>
            <xdr:cNvPr id="5171" name="Garantie134CB" hidden="1">
              <a:extLst>
                <a:ext uri="{63B3BB69-23CF-44E3-9099-C40C66FF867C}">
                  <a14:compatExt spid="_x0000_s5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78</xdr:row>
          <xdr:rowOff>28575</xdr:rowOff>
        </xdr:from>
        <xdr:to>
          <xdr:col>16</xdr:col>
          <xdr:colOff>285750</xdr:colOff>
          <xdr:row>79</xdr:row>
          <xdr:rowOff>28575</xdr:rowOff>
        </xdr:to>
        <xdr:sp macro="" textlink="">
          <xdr:nvSpPr>
            <xdr:cNvPr id="5172" name="Garantie135CB" hidden="1">
              <a:extLst>
                <a:ext uri="{63B3BB69-23CF-44E3-9099-C40C66FF867C}">
                  <a14:compatExt spid="_x0000_s5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79</xdr:row>
          <xdr:rowOff>9525</xdr:rowOff>
        </xdr:from>
        <xdr:to>
          <xdr:col>16</xdr:col>
          <xdr:colOff>285750</xdr:colOff>
          <xdr:row>80</xdr:row>
          <xdr:rowOff>9525</xdr:rowOff>
        </xdr:to>
        <xdr:sp macro="" textlink="">
          <xdr:nvSpPr>
            <xdr:cNvPr id="5176" name="Bloc14CB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81</xdr:row>
          <xdr:rowOff>9525</xdr:rowOff>
        </xdr:from>
        <xdr:to>
          <xdr:col>16</xdr:col>
          <xdr:colOff>285750</xdr:colOff>
          <xdr:row>82</xdr:row>
          <xdr:rowOff>9525</xdr:rowOff>
        </xdr:to>
        <xdr:sp macro="" textlink="">
          <xdr:nvSpPr>
            <xdr:cNvPr id="5194" name="Bloc15CB" hidden="1">
              <a:extLst>
                <a:ext uri="{63B3BB69-23CF-44E3-9099-C40C66FF867C}">
                  <a14:compatExt spid="_x0000_s5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80</xdr:row>
          <xdr:rowOff>19050</xdr:rowOff>
        </xdr:from>
        <xdr:to>
          <xdr:col>16</xdr:col>
          <xdr:colOff>285750</xdr:colOff>
          <xdr:row>81</xdr:row>
          <xdr:rowOff>19050</xdr:rowOff>
        </xdr:to>
        <xdr:sp macro="" textlink="">
          <xdr:nvSpPr>
            <xdr:cNvPr id="5195" name="Garantie141CB" hidden="1">
              <a:extLst>
                <a:ext uri="{63B3BB69-23CF-44E3-9099-C40C66FF867C}">
                  <a14:compatExt spid="_x0000_s5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82</xdr:row>
          <xdr:rowOff>0</xdr:rowOff>
        </xdr:from>
        <xdr:to>
          <xdr:col>16</xdr:col>
          <xdr:colOff>285750</xdr:colOff>
          <xdr:row>83</xdr:row>
          <xdr:rowOff>0</xdr:rowOff>
        </xdr:to>
        <xdr:sp macro="" textlink="">
          <xdr:nvSpPr>
            <xdr:cNvPr id="5201" name="Garantie151CB" hidden="1">
              <a:extLst>
                <a:ext uri="{63B3BB69-23CF-44E3-9099-C40C66FF867C}">
                  <a14:compatExt spid="_x0000_s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69</xdr:row>
          <xdr:rowOff>180975</xdr:rowOff>
        </xdr:from>
        <xdr:to>
          <xdr:col>16</xdr:col>
          <xdr:colOff>285750</xdr:colOff>
          <xdr:row>70</xdr:row>
          <xdr:rowOff>180975</xdr:rowOff>
        </xdr:to>
        <xdr:sp macro="" textlink="">
          <xdr:nvSpPr>
            <xdr:cNvPr id="5636" name="Garantie122CB" hidden="1">
              <a:extLst>
                <a:ext uri="{63B3BB69-23CF-44E3-9099-C40C66FF867C}">
                  <a14:compatExt spid="_x0000_s5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53</xdr:row>
          <xdr:rowOff>9525</xdr:rowOff>
        </xdr:from>
        <xdr:to>
          <xdr:col>16</xdr:col>
          <xdr:colOff>276225</xdr:colOff>
          <xdr:row>54</xdr:row>
          <xdr:rowOff>9525</xdr:rowOff>
        </xdr:to>
        <xdr:sp macro="" textlink="">
          <xdr:nvSpPr>
            <xdr:cNvPr id="5637" name="Garantie116CB" hidden="1">
              <a:extLst>
                <a:ext uri="{63B3BB69-23CF-44E3-9099-C40C66FF867C}">
                  <a14:compatExt spid="_x0000_s5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54</xdr:row>
          <xdr:rowOff>0</xdr:rowOff>
        </xdr:from>
        <xdr:to>
          <xdr:col>16</xdr:col>
          <xdr:colOff>276225</xdr:colOff>
          <xdr:row>55</xdr:row>
          <xdr:rowOff>0</xdr:rowOff>
        </xdr:to>
        <xdr:sp macro="" textlink="">
          <xdr:nvSpPr>
            <xdr:cNvPr id="5638" name="Garantie117CB" hidden="1">
              <a:extLst>
                <a:ext uri="{63B3BB69-23CF-44E3-9099-C40C66FF867C}">
                  <a14:compatExt spid="_x0000_s5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55</xdr:row>
          <xdr:rowOff>0</xdr:rowOff>
        </xdr:from>
        <xdr:to>
          <xdr:col>16</xdr:col>
          <xdr:colOff>276225</xdr:colOff>
          <xdr:row>56</xdr:row>
          <xdr:rowOff>0</xdr:rowOff>
        </xdr:to>
        <xdr:sp macro="" textlink="">
          <xdr:nvSpPr>
            <xdr:cNvPr id="5639" name="Garantie118CB" hidden="1">
              <a:extLst>
                <a:ext uri="{63B3BB69-23CF-44E3-9099-C40C66FF867C}">
                  <a14:compatExt spid="_x0000_s5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56</xdr:row>
          <xdr:rowOff>9525</xdr:rowOff>
        </xdr:from>
        <xdr:to>
          <xdr:col>16</xdr:col>
          <xdr:colOff>276225</xdr:colOff>
          <xdr:row>57</xdr:row>
          <xdr:rowOff>9525</xdr:rowOff>
        </xdr:to>
        <xdr:sp macro="" textlink="">
          <xdr:nvSpPr>
            <xdr:cNvPr id="5640" name="Garantie119CB" hidden="1">
              <a:extLst>
                <a:ext uri="{63B3BB69-23CF-44E3-9099-C40C66FF867C}">
                  <a14:compatExt spid="_x0000_s5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57</xdr:row>
          <xdr:rowOff>9525</xdr:rowOff>
        </xdr:from>
        <xdr:to>
          <xdr:col>16</xdr:col>
          <xdr:colOff>276225</xdr:colOff>
          <xdr:row>58</xdr:row>
          <xdr:rowOff>9525</xdr:rowOff>
        </xdr:to>
        <xdr:sp macro="" textlink="">
          <xdr:nvSpPr>
            <xdr:cNvPr id="5643" name="Garantie1110CB" hidden="1">
              <a:extLst>
                <a:ext uri="{63B3BB69-23CF-44E3-9099-C40C66FF867C}">
                  <a14:compatExt spid="_x0000_s5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58</xdr:row>
          <xdr:rowOff>9525</xdr:rowOff>
        </xdr:from>
        <xdr:to>
          <xdr:col>16</xdr:col>
          <xdr:colOff>276225</xdr:colOff>
          <xdr:row>59</xdr:row>
          <xdr:rowOff>9525</xdr:rowOff>
        </xdr:to>
        <xdr:sp macro="" textlink="">
          <xdr:nvSpPr>
            <xdr:cNvPr id="5644" name="Garantie1111CB" hidden="1">
              <a:extLst>
                <a:ext uri="{63B3BB69-23CF-44E3-9099-C40C66FF867C}">
                  <a14:compatExt spid="_x0000_s5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59</xdr:row>
          <xdr:rowOff>0</xdr:rowOff>
        </xdr:from>
        <xdr:to>
          <xdr:col>16</xdr:col>
          <xdr:colOff>276225</xdr:colOff>
          <xdr:row>60</xdr:row>
          <xdr:rowOff>0</xdr:rowOff>
        </xdr:to>
        <xdr:sp macro="" textlink="">
          <xdr:nvSpPr>
            <xdr:cNvPr id="5645" name="Garantie1112CB" hidden="1">
              <a:extLst>
                <a:ext uri="{63B3BB69-23CF-44E3-9099-C40C66FF867C}">
                  <a14:compatExt spid="_x0000_s5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60</xdr:row>
          <xdr:rowOff>9525</xdr:rowOff>
        </xdr:from>
        <xdr:to>
          <xdr:col>16</xdr:col>
          <xdr:colOff>276225</xdr:colOff>
          <xdr:row>61</xdr:row>
          <xdr:rowOff>9525</xdr:rowOff>
        </xdr:to>
        <xdr:sp macro="" textlink="">
          <xdr:nvSpPr>
            <xdr:cNvPr id="5646" name="Garantie1113CB" hidden="1">
              <a:extLst>
                <a:ext uri="{63B3BB69-23CF-44E3-9099-C40C66FF867C}">
                  <a14:compatExt spid="_x0000_s5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61</xdr:row>
          <xdr:rowOff>0</xdr:rowOff>
        </xdr:from>
        <xdr:to>
          <xdr:col>16</xdr:col>
          <xdr:colOff>276225</xdr:colOff>
          <xdr:row>62</xdr:row>
          <xdr:rowOff>0</xdr:rowOff>
        </xdr:to>
        <xdr:sp macro="" textlink="">
          <xdr:nvSpPr>
            <xdr:cNvPr id="5647" name="Garantie1114CB" hidden="1">
              <a:extLst>
                <a:ext uri="{63B3BB69-23CF-44E3-9099-C40C66FF867C}">
                  <a14:compatExt spid="_x0000_s5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62</xdr:row>
          <xdr:rowOff>0</xdr:rowOff>
        </xdr:from>
        <xdr:to>
          <xdr:col>16</xdr:col>
          <xdr:colOff>276225</xdr:colOff>
          <xdr:row>63</xdr:row>
          <xdr:rowOff>0</xdr:rowOff>
        </xdr:to>
        <xdr:sp macro="" textlink="">
          <xdr:nvSpPr>
            <xdr:cNvPr id="5648" name="Garantie1115CB" hidden="1">
              <a:extLst>
                <a:ext uri="{63B3BB69-23CF-44E3-9099-C40C66FF867C}">
                  <a14:compatExt spid="_x0000_s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63</xdr:row>
          <xdr:rowOff>0</xdr:rowOff>
        </xdr:from>
        <xdr:to>
          <xdr:col>16</xdr:col>
          <xdr:colOff>276225</xdr:colOff>
          <xdr:row>64</xdr:row>
          <xdr:rowOff>0</xdr:rowOff>
        </xdr:to>
        <xdr:sp macro="" textlink="">
          <xdr:nvSpPr>
            <xdr:cNvPr id="5649" name="Garantie1116CB" hidden="1">
              <a:extLst>
                <a:ext uri="{63B3BB69-23CF-44E3-9099-C40C66FF867C}">
                  <a14:compatExt spid="_x0000_s5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64</xdr:row>
          <xdr:rowOff>0</xdr:rowOff>
        </xdr:from>
        <xdr:to>
          <xdr:col>16</xdr:col>
          <xdr:colOff>276225</xdr:colOff>
          <xdr:row>65</xdr:row>
          <xdr:rowOff>0</xdr:rowOff>
        </xdr:to>
        <xdr:sp macro="" textlink="">
          <xdr:nvSpPr>
            <xdr:cNvPr id="5650" name="Garantie1117CB" hidden="1">
              <a:extLst>
                <a:ext uri="{63B3BB69-23CF-44E3-9099-C40C66FF867C}">
                  <a14:compatExt spid="_x0000_s5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64</xdr:row>
          <xdr:rowOff>180975</xdr:rowOff>
        </xdr:from>
        <xdr:to>
          <xdr:col>16</xdr:col>
          <xdr:colOff>276225</xdr:colOff>
          <xdr:row>65</xdr:row>
          <xdr:rowOff>180975</xdr:rowOff>
        </xdr:to>
        <xdr:sp macro="" textlink="">
          <xdr:nvSpPr>
            <xdr:cNvPr id="5651" name="Garantie1118CB" hidden="1">
              <a:extLst>
                <a:ext uri="{63B3BB69-23CF-44E3-9099-C40C66FF867C}">
                  <a14:compatExt spid="_x0000_s5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66</xdr:row>
          <xdr:rowOff>0</xdr:rowOff>
        </xdr:from>
        <xdr:to>
          <xdr:col>16</xdr:col>
          <xdr:colOff>276225</xdr:colOff>
          <xdr:row>67</xdr:row>
          <xdr:rowOff>0</xdr:rowOff>
        </xdr:to>
        <xdr:sp macro="" textlink="">
          <xdr:nvSpPr>
            <xdr:cNvPr id="5652" name="Garantie1119CB" hidden="1">
              <a:extLst>
                <a:ext uri="{63B3BB69-23CF-44E3-9099-C40C66FF867C}">
                  <a14:compatExt spid="_x0000_s5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82</xdr:row>
          <xdr:rowOff>180975</xdr:rowOff>
        </xdr:from>
        <xdr:to>
          <xdr:col>16</xdr:col>
          <xdr:colOff>285750</xdr:colOff>
          <xdr:row>83</xdr:row>
          <xdr:rowOff>180975</xdr:rowOff>
        </xdr:to>
        <xdr:sp macro="" textlink="">
          <xdr:nvSpPr>
            <xdr:cNvPr id="5653" name="Garantie1511CB" hidden="1">
              <a:extLst>
                <a:ext uri="{63B3BB69-23CF-44E3-9099-C40C66FF867C}">
                  <a14:compatExt spid="_x0000_s5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83</xdr:row>
          <xdr:rowOff>180975</xdr:rowOff>
        </xdr:from>
        <xdr:to>
          <xdr:col>16</xdr:col>
          <xdr:colOff>285750</xdr:colOff>
          <xdr:row>84</xdr:row>
          <xdr:rowOff>180975</xdr:rowOff>
        </xdr:to>
        <xdr:sp macro="" textlink="">
          <xdr:nvSpPr>
            <xdr:cNvPr id="5654" name="Garantie15111CB" hidden="1">
              <a:extLst>
                <a:ext uri="{63B3BB69-23CF-44E3-9099-C40C66FF867C}">
                  <a14:compatExt spid="_x0000_s5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85</xdr:row>
          <xdr:rowOff>0</xdr:rowOff>
        </xdr:from>
        <xdr:to>
          <xdr:col>16</xdr:col>
          <xdr:colOff>285750</xdr:colOff>
          <xdr:row>86</xdr:row>
          <xdr:rowOff>0</xdr:rowOff>
        </xdr:to>
        <xdr:sp macro="" textlink="">
          <xdr:nvSpPr>
            <xdr:cNvPr id="5655" name="Garantie15112CB" hidden="1">
              <a:extLst>
                <a:ext uri="{63B3BB69-23CF-44E3-9099-C40C66FF867C}">
                  <a14:compatExt spid="_x0000_s5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86</xdr:row>
          <xdr:rowOff>0</xdr:rowOff>
        </xdr:from>
        <xdr:to>
          <xdr:col>16</xdr:col>
          <xdr:colOff>285750</xdr:colOff>
          <xdr:row>87</xdr:row>
          <xdr:rowOff>0</xdr:rowOff>
        </xdr:to>
        <xdr:sp macro="" textlink="">
          <xdr:nvSpPr>
            <xdr:cNvPr id="5656" name="Garantie15113CB" hidden="1">
              <a:extLst>
                <a:ext uri="{63B3BB69-23CF-44E3-9099-C40C66FF867C}">
                  <a14:compatExt spid="_x0000_s5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86</xdr:row>
          <xdr:rowOff>180975</xdr:rowOff>
        </xdr:from>
        <xdr:to>
          <xdr:col>16</xdr:col>
          <xdr:colOff>285750</xdr:colOff>
          <xdr:row>87</xdr:row>
          <xdr:rowOff>180975</xdr:rowOff>
        </xdr:to>
        <xdr:sp macro="" textlink="">
          <xdr:nvSpPr>
            <xdr:cNvPr id="5657" name="Garantie1512CB" hidden="1">
              <a:extLst>
                <a:ext uri="{63B3BB69-23CF-44E3-9099-C40C66FF867C}">
                  <a14:compatExt spid="_x0000_s5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au2" displayName="Tableau2" ref="A1:A14" totalsRowShown="0">
  <autoFilter ref="A1:A14"/>
  <tableColumns count="1">
    <tableColumn id="1" name="Branches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8" name="Tableau8" displayName="Tableau8" ref="C1:O19" totalsRowShown="0">
  <autoFilter ref="C1:O19"/>
  <tableColumns count="13">
    <tableColumn id="1" name="AP"/>
    <tableColumn id="2" name="CO"/>
    <tableColumn id="3" name="IA"/>
    <tableColumn id="4" name="IN"/>
    <tableColumn id="5" name="LO"/>
    <tableColumn id="6" name="MR"/>
    <tableColumn id="7" name="PJ"/>
    <tableColumn id="8" name="PP"/>
    <tableColumn id="9" name="RC"/>
    <tableColumn id="10" name="RS"/>
    <tableColumn id="11" name="RT"/>
    <tableColumn id="12" name="TR"/>
    <tableColumn id="13" name="ZZ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9" name="Tableau9" displayName="Tableau9" ref="A22:A28" totalsRowShown="0">
  <autoFilter ref="A22:A28"/>
  <tableColumns count="1">
    <tableColumn id="1" name="Périodicité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1" name="Tableau11" displayName="Tableau11" ref="B22:B107" totalsRowShown="0">
  <autoFilter ref="B22:B107"/>
  <tableColumns count="1">
    <tableColumn id="1" name="Mots Clé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au7" displayName="Tableau7" ref="C22:C29" totalsRowShown="0">
  <autoFilter ref="C22:C29"/>
  <tableColumns count="1">
    <tableColumn id="1" name="Objet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Tableau10" displayName="Tableau10" ref="D22:D24" totalsRowShown="0">
  <autoFilter ref="D22:D24"/>
  <tableColumns count="1">
    <tableColumn id="1" name="Type Polic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Tableau12" displayName="Tableau12" ref="E22:E40" totalsRowShown="0">
  <autoFilter ref="E22:E40"/>
  <tableColumns count="1">
    <tableColumn id="1" name="Territorialité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3" name="Tableau13" displayName="Tableau13" ref="F22:F24" totalsRowShown="0">
  <autoFilter ref="F22:F24"/>
  <tableColumns count="1">
    <tableColumn id="1" name="Choix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Tableau14" displayName="Tableau14" ref="G22:G25" totalsRowShown="0">
  <autoFilter ref="G22:G25"/>
  <tableColumns count="1">
    <tableColumn id="1" name="Unité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5" name="Tableau15" displayName="Tableau15" ref="H22:H32" totalsRowShown="0">
  <autoFilter ref="H22:H32"/>
  <tableColumns count="1">
    <tableColumn id="1" name="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Tableau17" displayName="Tableau17" ref="I22:I25" totalsRowShown="0">
  <autoFilter ref="I22:I25"/>
  <tableColumns count="1">
    <tableColumn id="1" name="HTTC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3" displayName="Tableau3" ref="K22:K25" totalsRowShown="0">
  <autoFilter ref="K22:K25"/>
  <tableColumns count="1">
    <tableColumn id="1" name="LCI%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93"/>
  <sheetViews>
    <sheetView tabSelected="1" topLeftCell="A31" zoomScaleNormal="100" workbookViewId="0">
      <selection activeCell="E41" sqref="E41"/>
    </sheetView>
  </sheetViews>
  <sheetFormatPr baseColWidth="10" defaultRowHeight="15" x14ac:dyDescent="0.25"/>
  <cols>
    <col min="1" max="1" width="42" style="5" customWidth="1"/>
    <col min="2" max="2" width="19.85546875" style="5" customWidth="1"/>
    <col min="3" max="14" width="14" style="5" customWidth="1"/>
    <col min="15" max="15" width="5.42578125" style="29" hidden="1" customWidth="1"/>
    <col min="16" max="16" width="8.140625" style="34" hidden="1" customWidth="1"/>
    <col min="17" max="17" width="5.85546875" style="33" customWidth="1"/>
    <col min="18" max="18" width="5.85546875" style="33" hidden="1" customWidth="1"/>
    <col min="19" max="19" width="23" style="5" customWidth="1"/>
    <col min="20" max="16384" width="11.42578125" style="5"/>
  </cols>
  <sheetData>
    <row r="1" spans="1:20" ht="19.5" x14ac:dyDescent="0.3">
      <c r="B1" s="50" t="s">
        <v>35</v>
      </c>
      <c r="C1" s="50"/>
      <c r="D1" s="50"/>
      <c r="E1" s="50"/>
      <c r="F1" s="50"/>
      <c r="G1" s="50"/>
      <c r="H1" s="50"/>
      <c r="I1" s="50"/>
      <c r="J1" s="10"/>
      <c r="K1" s="10"/>
    </row>
    <row r="2" spans="1:20" x14ac:dyDescent="0.25">
      <c r="S2" s="11"/>
      <c r="T2" s="5" t="s">
        <v>251</v>
      </c>
    </row>
    <row r="3" spans="1:20" x14ac:dyDescent="0.25">
      <c r="P3" s="9">
        <f ca="1">DATE(YEAR(TODAY()),MID(B13,4,2),MID(B13,1,2))</f>
        <v>44165</v>
      </c>
      <c r="S3" s="12"/>
      <c r="T3" s="5" t="s">
        <v>252</v>
      </c>
    </row>
    <row r="4" spans="1:20" x14ac:dyDescent="0.25">
      <c r="A4" s="13" t="s">
        <v>19</v>
      </c>
      <c r="B4" s="2"/>
      <c r="C4" s="2"/>
      <c r="D4" s="14" t="s">
        <v>48</v>
      </c>
      <c r="E4" s="7" t="s">
        <v>47</v>
      </c>
      <c r="H4" s="14"/>
      <c r="M4" s="3"/>
      <c r="O4" s="30"/>
      <c r="P4" s="9">
        <f ca="1">TODAY()</f>
        <v>43903</v>
      </c>
    </row>
    <row r="5" spans="1:20" x14ac:dyDescent="0.25">
      <c r="A5" s="15"/>
      <c r="P5" s="34">
        <f ca="1">IF(P3&gt;P4,YEAR(TODAY()),YEAR(TODAY())+1)</f>
        <v>2020</v>
      </c>
    </row>
    <row r="6" spans="1:20" x14ac:dyDescent="0.25">
      <c r="A6" s="16" t="s">
        <v>0</v>
      </c>
      <c r="B6" s="4" t="s">
        <v>263</v>
      </c>
      <c r="P6" s="9">
        <v>42736</v>
      </c>
    </row>
    <row r="7" spans="1:20" x14ac:dyDescent="0.25">
      <c r="A7" s="16" t="s">
        <v>5</v>
      </c>
      <c r="B7" s="7" t="s">
        <v>63</v>
      </c>
      <c r="C7" s="7" t="s">
        <v>88</v>
      </c>
      <c r="M7" s="3"/>
      <c r="O7" s="30"/>
      <c r="P7" s="34">
        <f ca="1">IFERROR(DATEDIF(P3,P4,"m"),-(DATEDIF(P4,P3,"m")))</f>
        <v>-8</v>
      </c>
    </row>
    <row r="8" spans="1:20" ht="18.75" x14ac:dyDescent="0.3">
      <c r="A8" s="16" t="s">
        <v>16</v>
      </c>
      <c r="B8" s="4" t="s">
        <v>264</v>
      </c>
      <c r="F8" s="48" t="str">
        <f>IF(OR($J$90=0,$L$90=0,$N$90= 0),"Veuillez renseigner des volets/blocs/garanties","")</f>
        <v/>
      </c>
      <c r="G8" s="48"/>
      <c r="H8" s="48"/>
      <c r="I8" s="48"/>
      <c r="J8" s="48"/>
    </row>
    <row r="9" spans="1:20" ht="18.75" x14ac:dyDescent="0.3">
      <c r="A9" s="16" t="s">
        <v>17</v>
      </c>
      <c r="B9" s="1" t="s">
        <v>322</v>
      </c>
      <c r="F9" s="48" t="str">
        <f>IF(OR($F$90=0,$H$90=0),"Veuillez renseigner des Risques/Objets","")</f>
        <v/>
      </c>
      <c r="G9" s="48"/>
      <c r="H9" s="48"/>
      <c r="I9" s="48"/>
      <c r="J9" s="48"/>
    </row>
    <row r="10" spans="1:20" x14ac:dyDescent="0.25">
      <c r="A10" s="16" t="s">
        <v>37</v>
      </c>
      <c r="B10" s="8">
        <v>43011</v>
      </c>
    </row>
    <row r="11" spans="1:20" x14ac:dyDescent="0.25">
      <c r="A11" s="16" t="s">
        <v>55</v>
      </c>
      <c r="B11" s="45"/>
      <c r="C11" s="12" t="s">
        <v>4</v>
      </c>
      <c r="D11" s="9"/>
      <c r="E11" s="3"/>
    </row>
    <row r="12" spans="1:20" x14ac:dyDescent="0.25">
      <c r="A12" s="16" t="s">
        <v>1</v>
      </c>
      <c r="B12" s="7" t="s">
        <v>152</v>
      </c>
    </row>
    <row r="13" spans="1:20" x14ac:dyDescent="0.25">
      <c r="A13" s="16" t="s">
        <v>36</v>
      </c>
      <c r="B13" s="6" t="s">
        <v>323</v>
      </c>
    </row>
    <row r="14" spans="1:20" x14ac:dyDescent="0.25">
      <c r="A14" s="16" t="s">
        <v>29</v>
      </c>
      <c r="B14" s="42">
        <f ca="1">IF(P7&lt;-9,EDATE(P3,-9),IF(P7&lt;-6,EDATE(P3,-6),IF(P7&lt;-3,EDATE(P3,-3),IF(P7&lt;0,EDATE(P3,0),IF(P7&lt;3,EDATE(P3,3),IF(P7&lt;6,EDATE(P3,6),IF(P7&lt;9,EDATE(P3,9))))))))</f>
        <v>43981</v>
      </c>
      <c r="C14" s="46"/>
    </row>
    <row r="15" spans="1:20" x14ac:dyDescent="0.25">
      <c r="A15" s="16" t="s">
        <v>38</v>
      </c>
      <c r="B15" s="35">
        <v>2</v>
      </c>
    </row>
    <row r="16" spans="1:20" x14ac:dyDescent="0.25">
      <c r="A16" s="16" t="s">
        <v>2</v>
      </c>
      <c r="B16" s="47">
        <v>100</v>
      </c>
    </row>
    <row r="17" spans="1:20" x14ac:dyDescent="0.25">
      <c r="A17" s="16" t="s">
        <v>3</v>
      </c>
      <c r="B17" s="35">
        <v>100</v>
      </c>
    </row>
    <row r="18" spans="1:20" x14ac:dyDescent="0.25">
      <c r="A18" s="16" t="s">
        <v>22</v>
      </c>
      <c r="B18" s="7" t="s">
        <v>23</v>
      </c>
    </row>
    <row r="19" spans="1:20" x14ac:dyDescent="0.25">
      <c r="A19" s="28" t="s">
        <v>26</v>
      </c>
      <c r="B19" s="7" t="s">
        <v>262</v>
      </c>
      <c r="C19" s="7" t="s">
        <v>51</v>
      </c>
      <c r="D19" s="4" t="s">
        <v>25</v>
      </c>
      <c r="E19" s="3"/>
      <c r="G19" s="3"/>
      <c r="H19" s="3"/>
    </row>
    <row r="20" spans="1:20" x14ac:dyDescent="0.25">
      <c r="A20" s="16" t="s">
        <v>20</v>
      </c>
      <c r="B20" s="7">
        <v>184</v>
      </c>
      <c r="C20" s="7" t="s">
        <v>51</v>
      </c>
      <c r="D20" s="3"/>
      <c r="E20" s="3"/>
      <c r="F20" s="3"/>
      <c r="G20" s="3"/>
      <c r="H20" s="3"/>
    </row>
    <row r="21" spans="1:20" x14ac:dyDescent="0.25">
      <c r="A21" s="16" t="s">
        <v>21</v>
      </c>
      <c r="B21" s="7">
        <v>184</v>
      </c>
      <c r="C21" s="7" t="s">
        <v>51</v>
      </c>
      <c r="D21" s="3"/>
      <c r="E21" s="3"/>
      <c r="F21" s="3"/>
      <c r="G21" s="3"/>
      <c r="H21" s="3"/>
    </row>
    <row r="22" spans="1:20" x14ac:dyDescent="0.25">
      <c r="A22" s="16" t="s">
        <v>18</v>
      </c>
      <c r="B22" s="4" t="s">
        <v>266</v>
      </c>
      <c r="C22" s="4" t="s">
        <v>265</v>
      </c>
      <c r="D22" s="3"/>
      <c r="E22" s="3"/>
      <c r="F22" s="61" t="s">
        <v>307</v>
      </c>
      <c r="G22" s="61"/>
      <c r="H22" s="61"/>
      <c r="I22" s="61"/>
      <c r="J22" s="61"/>
      <c r="K22" s="61"/>
    </row>
    <row r="23" spans="1:20" x14ac:dyDescent="0.25">
      <c r="A23" s="17" t="s">
        <v>27</v>
      </c>
      <c r="B23" s="7" t="s">
        <v>28</v>
      </c>
      <c r="C23" s="3"/>
      <c r="D23" s="3"/>
      <c r="E23" s="3"/>
      <c r="F23" s="12" t="s">
        <v>311</v>
      </c>
      <c r="G23" s="1" t="s">
        <v>312</v>
      </c>
      <c r="H23" s="12" t="s">
        <v>365</v>
      </c>
      <c r="I23" s="1"/>
      <c r="J23" s="12" t="s">
        <v>308</v>
      </c>
      <c r="K23" s="1" t="s">
        <v>313</v>
      </c>
    </row>
    <row r="24" spans="1:20" x14ac:dyDescent="0.25">
      <c r="A24" s="16" t="s">
        <v>30</v>
      </c>
      <c r="B24" s="7" t="s">
        <v>410</v>
      </c>
      <c r="C24" s="39">
        <v>0.43</v>
      </c>
      <c r="D24" s="3"/>
      <c r="E24" s="3"/>
      <c r="F24" s="12" t="s">
        <v>309</v>
      </c>
      <c r="G24" s="41">
        <v>92300</v>
      </c>
      <c r="H24" s="12" t="s">
        <v>310</v>
      </c>
      <c r="I24" s="1" t="s">
        <v>314</v>
      </c>
    </row>
    <row r="25" spans="1:20" x14ac:dyDescent="0.25">
      <c r="A25" s="16" t="s">
        <v>15</v>
      </c>
      <c r="B25" s="7" t="s">
        <v>24</v>
      </c>
      <c r="O25" s="58" t="s">
        <v>287</v>
      </c>
    </row>
    <row r="26" spans="1:20" x14ac:dyDescent="0.25">
      <c r="A26" s="16" t="s">
        <v>31</v>
      </c>
      <c r="B26" s="7" t="s">
        <v>306</v>
      </c>
      <c r="O26" s="58"/>
    </row>
    <row r="27" spans="1:20" ht="15" customHeight="1" x14ac:dyDescent="0.25">
      <c r="A27" s="16" t="s">
        <v>32</v>
      </c>
      <c r="B27" s="7" t="s">
        <v>324</v>
      </c>
      <c r="O27" s="58"/>
    </row>
    <row r="28" spans="1:20" x14ac:dyDescent="0.25">
      <c r="A28" s="16" t="s">
        <v>57</v>
      </c>
      <c r="B28" s="4"/>
      <c r="O28" s="58"/>
      <c r="S28" s="18"/>
      <c r="T28" s="18"/>
    </row>
    <row r="29" spans="1:20" x14ac:dyDescent="0.25">
      <c r="A29" s="16" t="s">
        <v>33</v>
      </c>
      <c r="B29" s="7" t="s">
        <v>24</v>
      </c>
      <c r="O29" s="58"/>
    </row>
    <row r="30" spans="1:20" ht="15" customHeight="1" x14ac:dyDescent="0.25">
      <c r="A30" s="16" t="s">
        <v>53</v>
      </c>
      <c r="B30" s="1"/>
      <c r="C30" s="1"/>
      <c r="D30" s="33"/>
      <c r="O30" s="58"/>
      <c r="S30" s="51" t="s">
        <v>54</v>
      </c>
      <c r="T30" s="52"/>
    </row>
    <row r="31" spans="1:20" x14ac:dyDescent="0.25">
      <c r="A31" s="16" t="s">
        <v>53</v>
      </c>
      <c r="B31" s="1"/>
      <c r="C31" s="1"/>
      <c r="D31" s="33"/>
      <c r="O31" s="58"/>
      <c r="S31" s="53"/>
      <c r="T31" s="54"/>
    </row>
    <row r="32" spans="1:20" x14ac:dyDescent="0.25">
      <c r="A32" s="19" t="s">
        <v>14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58"/>
    </row>
    <row r="33" spans="1:20" x14ac:dyDescent="0.25">
      <c r="A33" s="12" t="s">
        <v>253</v>
      </c>
      <c r="B33" s="1" t="s">
        <v>34</v>
      </c>
      <c r="C33" s="1"/>
      <c r="O33" s="58"/>
    </row>
    <row r="34" spans="1:20" ht="15" customHeight="1" x14ac:dyDescent="0.25">
      <c r="A34" s="20" t="s">
        <v>7</v>
      </c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32">
        <f>COUNTIF(P34,"VRAI")</f>
        <v>1</v>
      </c>
      <c r="P34" s="36" t="b">
        <v>1</v>
      </c>
      <c r="Q34" s="35"/>
      <c r="R34" s="35"/>
      <c r="T34" s="59" t="s">
        <v>45</v>
      </c>
    </row>
    <row r="35" spans="1:20" x14ac:dyDescent="0.25">
      <c r="A35" s="12" t="s">
        <v>0</v>
      </c>
      <c r="B35" s="7" t="s">
        <v>315</v>
      </c>
      <c r="Q35" s="38"/>
      <c r="R35" s="38"/>
      <c r="T35" s="60"/>
    </row>
    <row r="36" spans="1:20" x14ac:dyDescent="0.25">
      <c r="A36" s="12" t="s">
        <v>42</v>
      </c>
      <c r="B36" s="7" t="s">
        <v>408</v>
      </c>
      <c r="Q36" s="38"/>
      <c r="R36" s="38"/>
      <c r="T36" s="60"/>
    </row>
    <row r="37" spans="1:20" x14ac:dyDescent="0.25">
      <c r="A37" s="12" t="s">
        <v>6</v>
      </c>
      <c r="B37" s="42"/>
      <c r="C37" s="22" t="s">
        <v>4</v>
      </c>
      <c r="D37" s="43"/>
      <c r="E37" s="23"/>
      <c r="Q37" s="38"/>
      <c r="R37" s="38"/>
      <c r="T37" s="60"/>
    </row>
    <row r="38" spans="1:20" x14ac:dyDescent="0.25">
      <c r="A38" s="12" t="s">
        <v>59</v>
      </c>
      <c r="B38" s="7" t="s">
        <v>249</v>
      </c>
      <c r="C38" s="24"/>
      <c r="D38" s="24"/>
      <c r="E38" s="24"/>
      <c r="Q38" s="38"/>
      <c r="R38" s="38"/>
      <c r="T38" s="60"/>
    </row>
    <row r="39" spans="1:20" x14ac:dyDescent="0.25">
      <c r="A39" s="12" t="s">
        <v>60</v>
      </c>
      <c r="B39" s="1"/>
      <c r="C39" s="1"/>
      <c r="D39" s="1"/>
      <c r="Q39" s="38"/>
      <c r="R39" s="38"/>
      <c r="T39" s="60"/>
    </row>
    <row r="40" spans="1:20" x14ac:dyDescent="0.25">
      <c r="A40" s="25" t="s">
        <v>43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31">
        <f>COUNTIF(P40,"VRAI")</f>
        <v>1</v>
      </c>
      <c r="P40" s="34" t="b">
        <v>1</v>
      </c>
      <c r="Q40" s="38"/>
      <c r="R40" s="38"/>
      <c r="S40" s="55" t="s">
        <v>44</v>
      </c>
      <c r="T40" s="60"/>
    </row>
    <row r="41" spans="1:20" x14ac:dyDescent="0.25">
      <c r="A41" s="12" t="s">
        <v>0</v>
      </c>
      <c r="B41" s="7" t="s">
        <v>58</v>
      </c>
      <c r="O41" s="31"/>
      <c r="Q41" s="38"/>
      <c r="R41" s="38"/>
      <c r="S41" s="56"/>
      <c r="T41" s="60"/>
    </row>
    <row r="42" spans="1:20" x14ac:dyDescent="0.25">
      <c r="A42" s="12" t="s">
        <v>42</v>
      </c>
      <c r="B42" s="7" t="s">
        <v>408</v>
      </c>
      <c r="C42" s="7" t="s">
        <v>409</v>
      </c>
      <c r="D42" s="3"/>
      <c r="O42" s="31"/>
      <c r="Q42" s="38"/>
      <c r="R42" s="38"/>
      <c r="S42" s="56"/>
      <c r="T42" s="60"/>
    </row>
    <row r="43" spans="1:20" x14ac:dyDescent="0.25">
      <c r="A43" s="12" t="s">
        <v>6</v>
      </c>
      <c r="B43" s="42"/>
      <c r="C43" s="22" t="s">
        <v>4</v>
      </c>
      <c r="D43" s="43"/>
      <c r="E43" s="23"/>
      <c r="O43" s="31"/>
      <c r="Q43" s="38"/>
      <c r="R43" s="38"/>
      <c r="S43" s="56"/>
      <c r="T43" s="60"/>
    </row>
    <row r="44" spans="1:20" x14ac:dyDescent="0.25">
      <c r="A44" s="12" t="s">
        <v>59</v>
      </c>
      <c r="B44" s="7"/>
      <c r="C44" s="24"/>
      <c r="D44" s="24"/>
      <c r="E44" s="24"/>
      <c r="O44" s="31"/>
      <c r="Q44" s="38"/>
      <c r="R44" s="38"/>
      <c r="S44" s="56"/>
      <c r="T44" s="60"/>
    </row>
    <row r="45" spans="1:20" x14ac:dyDescent="0.25">
      <c r="A45" s="12" t="s">
        <v>60</v>
      </c>
      <c r="B45" s="1" t="s">
        <v>316</v>
      </c>
      <c r="C45" s="2" t="s">
        <v>34</v>
      </c>
      <c r="D45" s="2" t="s">
        <v>245</v>
      </c>
      <c r="E45" s="2"/>
      <c r="O45" s="31"/>
      <c r="Q45" s="38"/>
      <c r="R45" s="38"/>
      <c r="S45" s="57"/>
      <c r="T45" s="60"/>
    </row>
    <row r="46" spans="1:20" ht="15" customHeight="1" x14ac:dyDescent="0.25">
      <c r="A46" s="19" t="s">
        <v>8</v>
      </c>
      <c r="B46" s="12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Q46" s="38"/>
      <c r="R46" s="38"/>
      <c r="S46" s="55" t="s">
        <v>46</v>
      </c>
      <c r="T46" s="60"/>
    </row>
    <row r="47" spans="1:20" x14ac:dyDescent="0.25">
      <c r="A47" s="21" t="s">
        <v>40</v>
      </c>
      <c r="B47" s="21" t="s">
        <v>325</v>
      </c>
      <c r="C47" s="49" t="s">
        <v>9</v>
      </c>
      <c r="D47" s="49"/>
      <c r="E47" s="49"/>
      <c r="F47" s="49" t="s">
        <v>10</v>
      </c>
      <c r="G47" s="49"/>
      <c r="H47" s="49"/>
      <c r="I47" s="49" t="s">
        <v>11</v>
      </c>
      <c r="J47" s="49"/>
      <c r="K47" s="49"/>
      <c r="L47" s="49" t="s">
        <v>12</v>
      </c>
      <c r="M47" s="49"/>
      <c r="N47" s="49"/>
      <c r="O47" s="31">
        <f>COUNTIF(P47,"VRAI")</f>
        <v>1</v>
      </c>
      <c r="P47" s="34" t="b">
        <v>1</v>
      </c>
      <c r="Q47" s="38"/>
      <c r="R47" s="38">
        <v>1</v>
      </c>
      <c r="S47" s="56"/>
      <c r="T47" s="60"/>
    </row>
    <row r="48" spans="1:20" x14ac:dyDescent="0.25">
      <c r="A48" s="26" t="s">
        <v>39</v>
      </c>
      <c r="B48" s="26" t="s">
        <v>334</v>
      </c>
      <c r="C48" s="40" t="s">
        <v>317</v>
      </c>
      <c r="D48" s="40" t="s">
        <v>289</v>
      </c>
      <c r="E48" s="40" t="s">
        <v>292</v>
      </c>
      <c r="F48" s="40" t="s">
        <v>317</v>
      </c>
      <c r="G48" s="40" t="s">
        <v>289</v>
      </c>
      <c r="H48" s="40" t="s">
        <v>292</v>
      </c>
      <c r="I48" s="40" t="s">
        <v>317</v>
      </c>
      <c r="J48" s="40" t="s">
        <v>289</v>
      </c>
      <c r="K48" s="40" t="s">
        <v>292</v>
      </c>
      <c r="L48" s="40" t="s">
        <v>317</v>
      </c>
      <c r="M48" s="40" t="s">
        <v>289</v>
      </c>
      <c r="N48" s="40" t="s">
        <v>318</v>
      </c>
      <c r="O48" s="37">
        <f t="shared" ref="O48:O68" si="0">COUNTIF(P48,"VRAI")</f>
        <v>1</v>
      </c>
      <c r="P48" s="36" t="b">
        <v>1</v>
      </c>
      <c r="Q48" s="35"/>
      <c r="R48" s="38">
        <v>11</v>
      </c>
      <c r="S48" s="56"/>
      <c r="T48" s="60"/>
    </row>
    <row r="49" spans="1:20" x14ac:dyDescent="0.25">
      <c r="A49" s="27" t="s">
        <v>302</v>
      </c>
      <c r="B49" s="5" t="s">
        <v>335</v>
      </c>
      <c r="C49" s="2" t="s">
        <v>267</v>
      </c>
      <c r="D49" s="2" t="s">
        <v>319</v>
      </c>
      <c r="E49" s="2" t="s">
        <v>254</v>
      </c>
      <c r="F49" s="2" t="s">
        <v>267</v>
      </c>
      <c r="G49" s="2" t="s">
        <v>246</v>
      </c>
      <c r="H49" s="2" t="s">
        <v>366</v>
      </c>
      <c r="I49" s="4" t="s">
        <v>258</v>
      </c>
      <c r="J49" s="2" t="s">
        <v>34</v>
      </c>
      <c r="K49" s="2" t="s">
        <v>366</v>
      </c>
      <c r="L49" s="1"/>
      <c r="M49" s="2" t="s">
        <v>267</v>
      </c>
      <c r="N49" s="2" t="s">
        <v>267</v>
      </c>
      <c r="O49" s="37">
        <f t="shared" si="0"/>
        <v>1</v>
      </c>
      <c r="P49" s="36" t="b">
        <v>1</v>
      </c>
      <c r="Q49" s="35"/>
      <c r="R49" s="38">
        <v>111</v>
      </c>
      <c r="S49" s="56"/>
      <c r="T49" s="60"/>
    </row>
    <row r="50" spans="1:20" x14ac:dyDescent="0.25">
      <c r="A50" s="27" t="s">
        <v>302</v>
      </c>
      <c r="B50" s="5" t="s">
        <v>336</v>
      </c>
      <c r="C50" s="2" t="s">
        <v>267</v>
      </c>
      <c r="D50" s="2" t="s">
        <v>267</v>
      </c>
      <c r="E50" s="2" t="s">
        <v>267</v>
      </c>
      <c r="F50" s="2" t="s">
        <v>267</v>
      </c>
      <c r="G50" s="2" t="s">
        <v>267</v>
      </c>
      <c r="H50" s="2" t="s">
        <v>267</v>
      </c>
      <c r="I50" s="4" t="s">
        <v>258</v>
      </c>
      <c r="J50" s="2" t="s">
        <v>34</v>
      </c>
      <c r="K50" s="2" t="s">
        <v>366</v>
      </c>
      <c r="L50" s="1"/>
      <c r="M50" s="2" t="s">
        <v>267</v>
      </c>
      <c r="N50" s="2" t="s">
        <v>267</v>
      </c>
      <c r="O50" s="31">
        <f t="shared" si="0"/>
        <v>1</v>
      </c>
      <c r="P50" s="39" t="b">
        <v>1</v>
      </c>
      <c r="Q50" s="38"/>
      <c r="R50" s="38">
        <v>112</v>
      </c>
      <c r="S50" s="56"/>
      <c r="T50" s="60"/>
    </row>
    <row r="51" spans="1:20" x14ac:dyDescent="0.25">
      <c r="A51" s="27" t="s">
        <v>302</v>
      </c>
      <c r="B51" s="5" t="s">
        <v>337</v>
      </c>
      <c r="C51" s="2" t="s">
        <v>267</v>
      </c>
      <c r="D51" s="2" t="s">
        <v>319</v>
      </c>
      <c r="E51" s="2" t="s">
        <v>254</v>
      </c>
      <c r="F51" s="2" t="s">
        <v>267</v>
      </c>
      <c r="G51" s="2" t="s">
        <v>256</v>
      </c>
      <c r="H51" s="2" t="s">
        <v>378</v>
      </c>
      <c r="I51" s="4" t="s">
        <v>267</v>
      </c>
      <c r="J51" s="2" t="s">
        <v>267</v>
      </c>
      <c r="K51" s="2" t="s">
        <v>267</v>
      </c>
      <c r="L51" s="1"/>
      <c r="M51" s="2" t="s">
        <v>267</v>
      </c>
      <c r="N51" s="2" t="s">
        <v>267</v>
      </c>
      <c r="O51" s="31">
        <f t="shared" si="0"/>
        <v>1</v>
      </c>
      <c r="P51" s="34" t="b">
        <v>1</v>
      </c>
      <c r="Q51" s="38"/>
      <c r="R51" s="38">
        <v>113</v>
      </c>
      <c r="S51" s="56"/>
      <c r="T51" s="60"/>
    </row>
    <row r="52" spans="1:20" x14ac:dyDescent="0.25">
      <c r="A52" s="27" t="s">
        <v>302</v>
      </c>
      <c r="B52" s="5" t="s">
        <v>338</v>
      </c>
      <c r="C52" s="2" t="s">
        <v>267</v>
      </c>
      <c r="D52" s="2" t="s">
        <v>319</v>
      </c>
      <c r="E52" s="2" t="s">
        <v>254</v>
      </c>
      <c r="F52" s="2" t="s">
        <v>267</v>
      </c>
      <c r="G52" s="2" t="s">
        <v>256</v>
      </c>
      <c r="H52" s="2" t="s">
        <v>379</v>
      </c>
      <c r="I52" s="4" t="s">
        <v>267</v>
      </c>
      <c r="J52" s="2" t="s">
        <v>267</v>
      </c>
      <c r="K52" s="2" t="s">
        <v>267</v>
      </c>
      <c r="L52" s="1"/>
      <c r="M52" s="2" t="s">
        <v>267</v>
      </c>
      <c r="N52" s="2" t="s">
        <v>267</v>
      </c>
      <c r="O52" s="31">
        <f t="shared" si="0"/>
        <v>1</v>
      </c>
      <c r="P52" s="34" t="b">
        <v>1</v>
      </c>
      <c r="Q52" s="38"/>
      <c r="R52" s="38">
        <v>114</v>
      </c>
      <c r="S52" s="56"/>
      <c r="T52" s="60"/>
    </row>
    <row r="53" spans="1:20" x14ac:dyDescent="0.25">
      <c r="A53" s="27" t="s">
        <v>302</v>
      </c>
      <c r="B53" s="5" t="s">
        <v>339</v>
      </c>
      <c r="C53" s="2" t="s">
        <v>267</v>
      </c>
      <c r="D53" s="2" t="s">
        <v>319</v>
      </c>
      <c r="E53" s="2" t="s">
        <v>254</v>
      </c>
      <c r="F53" s="2" t="s">
        <v>267</v>
      </c>
      <c r="G53" s="2" t="s">
        <v>256</v>
      </c>
      <c r="H53" s="2" t="s">
        <v>380</v>
      </c>
      <c r="I53" s="4" t="s">
        <v>267</v>
      </c>
      <c r="J53" s="2" t="s">
        <v>267</v>
      </c>
      <c r="K53" s="2" t="s">
        <v>267</v>
      </c>
      <c r="L53" s="1"/>
      <c r="M53" s="2" t="s">
        <v>267</v>
      </c>
      <c r="N53" s="2" t="s">
        <v>267</v>
      </c>
      <c r="O53" s="31">
        <f t="shared" si="0"/>
        <v>1</v>
      </c>
      <c r="P53" s="34" t="b">
        <v>1</v>
      </c>
      <c r="Q53" s="38"/>
      <c r="R53" s="38">
        <v>115</v>
      </c>
      <c r="S53" s="56"/>
      <c r="T53" s="60"/>
    </row>
    <row r="54" spans="1:20" x14ac:dyDescent="0.25">
      <c r="A54" s="27" t="s">
        <v>302</v>
      </c>
      <c r="B54" s="5" t="s">
        <v>340</v>
      </c>
      <c r="C54" s="2" t="s">
        <v>267</v>
      </c>
      <c r="D54" s="2" t="s">
        <v>319</v>
      </c>
      <c r="E54" s="2" t="s">
        <v>254</v>
      </c>
      <c r="F54" s="2" t="s">
        <v>320</v>
      </c>
      <c r="G54" s="2" t="s">
        <v>246</v>
      </c>
      <c r="H54" s="2" t="s">
        <v>366</v>
      </c>
      <c r="I54" s="4" t="s">
        <v>267</v>
      </c>
      <c r="J54" s="2" t="s">
        <v>267</v>
      </c>
      <c r="K54" s="2" t="s">
        <v>267</v>
      </c>
      <c r="L54" s="1"/>
      <c r="M54" s="2" t="s">
        <v>267</v>
      </c>
      <c r="N54" s="2" t="s">
        <v>267</v>
      </c>
      <c r="O54" s="31">
        <f t="shared" si="0"/>
        <v>1</v>
      </c>
      <c r="P54" s="34" t="b">
        <v>1</v>
      </c>
      <c r="Q54" s="38"/>
      <c r="R54" s="38"/>
      <c r="S54" s="56"/>
      <c r="T54" s="60"/>
    </row>
    <row r="55" spans="1:20" x14ac:dyDescent="0.25">
      <c r="A55" s="27" t="s">
        <v>302</v>
      </c>
      <c r="B55" s="5" t="s">
        <v>341</v>
      </c>
      <c r="C55" s="2" t="s">
        <v>267</v>
      </c>
      <c r="D55" s="2" t="s">
        <v>319</v>
      </c>
      <c r="E55" s="2" t="s">
        <v>254</v>
      </c>
      <c r="F55" s="2" t="s">
        <v>267</v>
      </c>
      <c r="G55" s="2" t="s">
        <v>246</v>
      </c>
      <c r="H55" s="2" t="s">
        <v>366</v>
      </c>
      <c r="I55" s="4" t="s">
        <v>258</v>
      </c>
      <c r="J55" s="2" t="s">
        <v>34</v>
      </c>
      <c r="K55" s="2" t="s">
        <v>366</v>
      </c>
      <c r="L55" s="1"/>
      <c r="M55" s="2" t="s">
        <v>267</v>
      </c>
      <c r="N55" s="2" t="s">
        <v>267</v>
      </c>
      <c r="O55" s="37">
        <f t="shared" si="0"/>
        <v>1</v>
      </c>
      <c r="P55" s="36" t="b">
        <v>1</v>
      </c>
      <c r="Q55" s="35"/>
      <c r="R55" s="38"/>
      <c r="S55" s="56"/>
      <c r="T55" s="60"/>
    </row>
    <row r="56" spans="1:20" x14ac:dyDescent="0.25">
      <c r="A56" s="27" t="s">
        <v>302</v>
      </c>
      <c r="B56" s="5" t="s">
        <v>342</v>
      </c>
      <c r="C56" s="2" t="s">
        <v>267</v>
      </c>
      <c r="D56" s="2" t="s">
        <v>267</v>
      </c>
      <c r="E56" s="2" t="s">
        <v>267</v>
      </c>
      <c r="F56" s="2" t="s">
        <v>267</v>
      </c>
      <c r="G56" s="2" t="s">
        <v>267</v>
      </c>
      <c r="H56" s="2" t="s">
        <v>267</v>
      </c>
      <c r="I56" s="4" t="s">
        <v>258</v>
      </c>
      <c r="J56" s="2" t="s">
        <v>34</v>
      </c>
      <c r="K56" s="2" t="s">
        <v>366</v>
      </c>
      <c r="L56" s="1"/>
      <c r="M56" s="2" t="s">
        <v>267</v>
      </c>
      <c r="N56" s="2" t="s">
        <v>267</v>
      </c>
      <c r="O56" s="31">
        <f t="shared" si="0"/>
        <v>1</v>
      </c>
      <c r="P56" s="34" t="b">
        <v>1</v>
      </c>
      <c r="Q56" s="38"/>
      <c r="R56" s="38"/>
      <c r="S56" s="56"/>
      <c r="T56" s="60"/>
    </row>
    <row r="57" spans="1:20" x14ac:dyDescent="0.25">
      <c r="A57" s="27" t="s">
        <v>302</v>
      </c>
      <c r="B57" s="5" t="s">
        <v>343</v>
      </c>
      <c r="C57" s="2" t="s">
        <v>267</v>
      </c>
      <c r="D57" s="2" t="s">
        <v>256</v>
      </c>
      <c r="E57" s="2" t="s">
        <v>369</v>
      </c>
      <c r="F57" s="2" t="s">
        <v>267</v>
      </c>
      <c r="G57" s="2" t="s">
        <v>256</v>
      </c>
      <c r="H57" s="2" t="s">
        <v>382</v>
      </c>
      <c r="I57" s="4" t="s">
        <v>267</v>
      </c>
      <c r="J57" s="2" t="s">
        <v>267</v>
      </c>
      <c r="K57" s="2" t="s">
        <v>267</v>
      </c>
      <c r="L57" s="1"/>
      <c r="M57" s="2" t="s">
        <v>267</v>
      </c>
      <c r="N57" s="2" t="s">
        <v>267</v>
      </c>
      <c r="O57" s="31">
        <f t="shared" si="0"/>
        <v>1</v>
      </c>
      <c r="P57" s="34" t="b">
        <v>1</v>
      </c>
      <c r="Q57" s="38"/>
      <c r="R57" s="38"/>
      <c r="S57" s="56"/>
      <c r="T57" s="60"/>
    </row>
    <row r="58" spans="1:20" x14ac:dyDescent="0.25">
      <c r="A58" s="27" t="s">
        <v>302</v>
      </c>
      <c r="B58" s="5" t="s">
        <v>344</v>
      </c>
      <c r="C58" s="2" t="s">
        <v>267</v>
      </c>
      <c r="D58" s="2" t="s">
        <v>319</v>
      </c>
      <c r="E58" s="2" t="s">
        <v>254</v>
      </c>
      <c r="F58" s="2" t="s">
        <v>267</v>
      </c>
      <c r="G58" s="2" t="s">
        <v>256</v>
      </c>
      <c r="H58" s="2" t="s">
        <v>383</v>
      </c>
      <c r="I58" s="4" t="s">
        <v>267</v>
      </c>
      <c r="J58" s="2" t="s">
        <v>267</v>
      </c>
      <c r="K58" s="2" t="s">
        <v>267</v>
      </c>
      <c r="L58" s="1"/>
      <c r="M58" s="2" t="s">
        <v>267</v>
      </c>
      <c r="N58" s="2" t="s">
        <v>267</v>
      </c>
      <c r="O58" s="31">
        <f t="shared" si="0"/>
        <v>1</v>
      </c>
      <c r="P58" s="34" t="b">
        <v>1</v>
      </c>
      <c r="Q58" s="38"/>
      <c r="R58" s="38"/>
      <c r="S58" s="56"/>
      <c r="T58" s="60"/>
    </row>
    <row r="59" spans="1:20" x14ac:dyDescent="0.25">
      <c r="A59" s="27" t="s">
        <v>302</v>
      </c>
      <c r="B59" s="5" t="s">
        <v>345</v>
      </c>
      <c r="C59" s="2" t="s">
        <v>267</v>
      </c>
      <c r="D59" s="2" t="s">
        <v>319</v>
      </c>
      <c r="E59" s="2" t="s">
        <v>254</v>
      </c>
      <c r="F59" s="2" t="s">
        <v>267</v>
      </c>
      <c r="G59" s="2" t="s">
        <v>256</v>
      </c>
      <c r="H59" s="2" t="s">
        <v>384</v>
      </c>
      <c r="I59" s="4" t="s">
        <v>267</v>
      </c>
      <c r="J59" s="2" t="s">
        <v>267</v>
      </c>
      <c r="K59" s="2" t="s">
        <v>267</v>
      </c>
      <c r="L59" s="1"/>
      <c r="M59" s="2" t="s">
        <v>267</v>
      </c>
      <c r="N59" s="2" t="s">
        <v>267</v>
      </c>
      <c r="O59" s="31">
        <f t="shared" si="0"/>
        <v>1</v>
      </c>
      <c r="P59" s="34" t="b">
        <v>1</v>
      </c>
      <c r="Q59" s="38"/>
      <c r="R59" s="38"/>
      <c r="S59" s="56"/>
      <c r="T59" s="60"/>
    </row>
    <row r="60" spans="1:20" x14ac:dyDescent="0.25">
      <c r="A60" s="27" t="s">
        <v>302</v>
      </c>
      <c r="B60" s="5" t="s">
        <v>346</v>
      </c>
      <c r="C60" s="2" t="s">
        <v>370</v>
      </c>
      <c r="D60" s="2" t="s">
        <v>368</v>
      </c>
      <c r="E60" s="2" t="s">
        <v>371</v>
      </c>
      <c r="F60" s="2" t="s">
        <v>267</v>
      </c>
      <c r="G60" s="2" t="s">
        <v>256</v>
      </c>
      <c r="H60" s="2" t="s">
        <v>385</v>
      </c>
      <c r="I60" s="4" t="s">
        <v>267</v>
      </c>
      <c r="J60" s="2" t="s">
        <v>267</v>
      </c>
      <c r="K60" s="2" t="s">
        <v>267</v>
      </c>
      <c r="L60" s="1"/>
      <c r="M60" s="2" t="s">
        <v>267</v>
      </c>
      <c r="N60" s="2" t="s">
        <v>267</v>
      </c>
      <c r="O60" s="31">
        <f t="shared" si="0"/>
        <v>1</v>
      </c>
      <c r="P60" s="34" t="b">
        <v>1</v>
      </c>
      <c r="Q60" s="38"/>
      <c r="R60" s="38"/>
      <c r="S60" s="56"/>
      <c r="T60" s="60"/>
    </row>
    <row r="61" spans="1:20" x14ac:dyDescent="0.25">
      <c r="A61" s="27" t="s">
        <v>302</v>
      </c>
      <c r="B61" s="5" t="s">
        <v>347</v>
      </c>
      <c r="C61" s="2" t="s">
        <v>255</v>
      </c>
      <c r="D61" s="2" t="s">
        <v>368</v>
      </c>
      <c r="E61" s="2" t="s">
        <v>372</v>
      </c>
      <c r="F61" s="2" t="s">
        <v>267</v>
      </c>
      <c r="G61" s="2" t="s">
        <v>256</v>
      </c>
      <c r="H61" s="2" t="s">
        <v>385</v>
      </c>
      <c r="I61" s="4" t="s">
        <v>267</v>
      </c>
      <c r="J61" s="2" t="s">
        <v>267</v>
      </c>
      <c r="K61" s="2" t="s">
        <v>267</v>
      </c>
      <c r="L61" s="1"/>
      <c r="M61" s="2" t="s">
        <v>267</v>
      </c>
      <c r="N61" s="2" t="s">
        <v>267</v>
      </c>
      <c r="O61" s="31">
        <f t="shared" si="0"/>
        <v>1</v>
      </c>
      <c r="P61" s="34" t="b">
        <v>1</v>
      </c>
      <c r="Q61" s="38"/>
      <c r="R61" s="38"/>
      <c r="S61" s="56"/>
      <c r="T61" s="60"/>
    </row>
    <row r="62" spans="1:20" x14ac:dyDescent="0.25">
      <c r="A62" s="27" t="s">
        <v>302</v>
      </c>
      <c r="B62" s="5" t="s">
        <v>348</v>
      </c>
      <c r="C62" s="2" t="s">
        <v>255</v>
      </c>
      <c r="D62" s="2" t="s">
        <v>368</v>
      </c>
      <c r="E62" s="2" t="s">
        <v>372</v>
      </c>
      <c r="F62" s="2" t="s">
        <v>267</v>
      </c>
      <c r="G62" s="2" t="s">
        <v>256</v>
      </c>
      <c r="H62" s="2" t="s">
        <v>385</v>
      </c>
      <c r="I62" s="4" t="s">
        <v>267</v>
      </c>
      <c r="J62" s="2" t="s">
        <v>267</v>
      </c>
      <c r="K62" s="2" t="s">
        <v>267</v>
      </c>
      <c r="L62" s="1"/>
      <c r="M62" s="2" t="s">
        <v>267</v>
      </c>
      <c r="N62" s="2" t="s">
        <v>267</v>
      </c>
      <c r="O62" s="31">
        <f t="shared" si="0"/>
        <v>1</v>
      </c>
      <c r="P62" s="34" t="b">
        <v>1</v>
      </c>
      <c r="Q62" s="38"/>
      <c r="R62" s="38"/>
      <c r="S62" s="56"/>
      <c r="T62" s="60"/>
    </row>
    <row r="63" spans="1:20" x14ac:dyDescent="0.25">
      <c r="A63" s="27" t="s">
        <v>302</v>
      </c>
      <c r="B63" s="5" t="s">
        <v>349</v>
      </c>
      <c r="C63" s="2" t="s">
        <v>267</v>
      </c>
      <c r="D63" s="2" t="s">
        <v>319</v>
      </c>
      <c r="E63" s="2" t="s">
        <v>254</v>
      </c>
      <c r="F63" s="2" t="s">
        <v>386</v>
      </c>
      <c r="G63" s="2" t="s">
        <v>246</v>
      </c>
      <c r="H63" s="2" t="s">
        <v>366</v>
      </c>
      <c r="I63" s="4" t="s">
        <v>258</v>
      </c>
      <c r="J63" s="2" t="s">
        <v>34</v>
      </c>
      <c r="K63" s="2" t="s">
        <v>366</v>
      </c>
      <c r="L63" s="1"/>
      <c r="M63" s="2" t="s">
        <v>267</v>
      </c>
      <c r="N63" s="2" t="s">
        <v>267</v>
      </c>
      <c r="O63" s="31">
        <f t="shared" si="0"/>
        <v>1</v>
      </c>
      <c r="P63" s="34" t="b">
        <v>1</v>
      </c>
      <c r="Q63" s="38"/>
      <c r="R63" s="38"/>
      <c r="S63" s="56"/>
      <c r="T63" s="60"/>
    </row>
    <row r="64" spans="1:20" x14ac:dyDescent="0.25">
      <c r="A64" s="27" t="s">
        <v>302</v>
      </c>
      <c r="B64" s="5" t="s">
        <v>350</v>
      </c>
      <c r="C64" s="2" t="s">
        <v>267</v>
      </c>
      <c r="D64" s="2" t="s">
        <v>319</v>
      </c>
      <c r="E64" s="2" t="s">
        <v>254</v>
      </c>
      <c r="F64" s="2" t="s">
        <v>267</v>
      </c>
      <c r="G64" s="2" t="s">
        <v>256</v>
      </c>
      <c r="H64" s="2" t="s">
        <v>387</v>
      </c>
      <c r="I64" s="4" t="s">
        <v>267</v>
      </c>
      <c r="J64" s="2" t="s">
        <v>267</v>
      </c>
      <c r="K64" s="2" t="s">
        <v>267</v>
      </c>
      <c r="L64" s="1"/>
      <c r="M64" s="2" t="s">
        <v>267</v>
      </c>
      <c r="N64" s="2" t="s">
        <v>267</v>
      </c>
      <c r="O64" s="31">
        <f t="shared" si="0"/>
        <v>1</v>
      </c>
      <c r="P64" s="34" t="b">
        <v>1</v>
      </c>
      <c r="Q64" s="38"/>
      <c r="R64" s="38"/>
      <c r="S64" s="56"/>
      <c r="T64" s="60"/>
    </row>
    <row r="65" spans="1:20" x14ac:dyDescent="0.25">
      <c r="A65" s="27" t="s">
        <v>302</v>
      </c>
      <c r="B65" s="5" t="s">
        <v>351</v>
      </c>
      <c r="C65" s="2" t="s">
        <v>267</v>
      </c>
      <c r="D65" s="2" t="s">
        <v>267</v>
      </c>
      <c r="E65" s="2" t="s">
        <v>267</v>
      </c>
      <c r="F65" s="2" t="s">
        <v>267</v>
      </c>
      <c r="G65" s="2" t="s">
        <v>267</v>
      </c>
      <c r="H65" s="2" t="s">
        <v>267</v>
      </c>
      <c r="I65" s="4" t="s">
        <v>258</v>
      </c>
      <c r="J65" s="2" t="s">
        <v>34</v>
      </c>
      <c r="K65" s="2" t="s">
        <v>366</v>
      </c>
      <c r="L65" s="1"/>
      <c r="M65" s="2" t="s">
        <v>267</v>
      </c>
      <c r="N65" s="2" t="s">
        <v>267</v>
      </c>
      <c r="O65" s="31">
        <f t="shared" si="0"/>
        <v>1</v>
      </c>
      <c r="P65" s="34" t="b">
        <v>1</v>
      </c>
      <c r="Q65" s="38"/>
      <c r="R65" s="38"/>
      <c r="S65" s="56"/>
      <c r="T65" s="60"/>
    </row>
    <row r="66" spans="1:20" x14ac:dyDescent="0.25">
      <c r="A66" s="27" t="s">
        <v>302</v>
      </c>
      <c r="B66" s="5" t="s">
        <v>352</v>
      </c>
      <c r="C66" s="2" t="s">
        <v>267</v>
      </c>
      <c r="D66" s="2" t="s">
        <v>319</v>
      </c>
      <c r="E66" s="2" t="s">
        <v>254</v>
      </c>
      <c r="F66" s="2" t="s">
        <v>388</v>
      </c>
      <c r="G66" s="2" t="s">
        <v>246</v>
      </c>
      <c r="H66" s="2" t="s">
        <v>254</v>
      </c>
      <c r="I66" s="4" t="s">
        <v>267</v>
      </c>
      <c r="J66" s="2" t="s">
        <v>267</v>
      </c>
      <c r="K66" s="2" t="s">
        <v>267</v>
      </c>
      <c r="L66" s="1"/>
      <c r="M66" s="2" t="s">
        <v>267</v>
      </c>
      <c r="N66" s="2" t="s">
        <v>267</v>
      </c>
      <c r="O66" s="31">
        <f t="shared" si="0"/>
        <v>1</v>
      </c>
      <c r="P66" s="34" t="b">
        <v>1</v>
      </c>
      <c r="Q66" s="38"/>
      <c r="R66" s="38"/>
      <c r="S66" s="56"/>
      <c r="T66" s="60"/>
    </row>
    <row r="67" spans="1:20" x14ac:dyDescent="0.25">
      <c r="A67" s="27" t="s">
        <v>302</v>
      </c>
      <c r="B67" s="5" t="s">
        <v>353</v>
      </c>
      <c r="C67" s="2" t="s">
        <v>267</v>
      </c>
      <c r="D67" s="2" t="s">
        <v>319</v>
      </c>
      <c r="E67" s="2" t="s">
        <v>254</v>
      </c>
      <c r="F67" s="2" t="s">
        <v>267</v>
      </c>
      <c r="G67" s="2" t="s">
        <v>256</v>
      </c>
      <c r="H67" s="2" t="s">
        <v>389</v>
      </c>
      <c r="I67" s="4" t="s">
        <v>267</v>
      </c>
      <c r="J67" s="2" t="s">
        <v>267</v>
      </c>
      <c r="K67" s="2" t="s">
        <v>267</v>
      </c>
      <c r="L67" s="1"/>
      <c r="M67" s="2" t="s">
        <v>267</v>
      </c>
      <c r="N67" s="2" t="s">
        <v>267</v>
      </c>
      <c r="O67" s="31">
        <f t="shared" si="0"/>
        <v>1</v>
      </c>
      <c r="P67" s="34" t="b">
        <v>1</v>
      </c>
      <c r="Q67" s="38"/>
      <c r="R67" s="38"/>
      <c r="S67" s="56"/>
      <c r="T67" s="60"/>
    </row>
    <row r="68" spans="1:20" x14ac:dyDescent="0.25">
      <c r="A68" s="27" t="s">
        <v>302</v>
      </c>
      <c r="B68" s="5" t="s">
        <v>354</v>
      </c>
      <c r="C68" s="2" t="s">
        <v>367</v>
      </c>
      <c r="D68" s="2" t="s">
        <v>368</v>
      </c>
      <c r="E68" s="2" t="s">
        <v>254</v>
      </c>
      <c r="F68" s="2" t="s">
        <v>267</v>
      </c>
      <c r="G68" s="2" t="s">
        <v>256</v>
      </c>
      <c r="H68" s="2" t="s">
        <v>390</v>
      </c>
      <c r="I68" s="4" t="s">
        <v>267</v>
      </c>
      <c r="J68" s="2" t="s">
        <v>267</v>
      </c>
      <c r="K68" s="2" t="s">
        <v>267</v>
      </c>
      <c r="L68" s="1"/>
      <c r="M68" s="2" t="s">
        <v>267</v>
      </c>
      <c r="N68" s="2" t="s">
        <v>267</v>
      </c>
      <c r="O68" s="31">
        <f t="shared" si="0"/>
        <v>1</v>
      </c>
      <c r="P68" s="34" t="b">
        <v>1</v>
      </c>
      <c r="Q68" s="38"/>
      <c r="R68" s="38">
        <v>116</v>
      </c>
      <c r="S68" s="56"/>
      <c r="T68" s="60"/>
    </row>
    <row r="69" spans="1:20" x14ac:dyDescent="0.25">
      <c r="A69" s="26" t="s">
        <v>39</v>
      </c>
      <c r="B69" s="26" t="s">
        <v>355</v>
      </c>
      <c r="C69" s="40" t="s">
        <v>317</v>
      </c>
      <c r="D69" s="40" t="s">
        <v>289</v>
      </c>
      <c r="E69" s="40" t="s">
        <v>292</v>
      </c>
      <c r="F69" s="40" t="s">
        <v>317</v>
      </c>
      <c r="G69" s="40" t="s">
        <v>289</v>
      </c>
      <c r="H69" s="40" t="s">
        <v>292</v>
      </c>
      <c r="I69" s="40" t="s">
        <v>317</v>
      </c>
      <c r="J69" s="40" t="s">
        <v>289</v>
      </c>
      <c r="K69" s="40" t="s">
        <v>292</v>
      </c>
      <c r="L69" s="40" t="s">
        <v>317</v>
      </c>
      <c r="M69" s="40" t="s">
        <v>289</v>
      </c>
      <c r="N69" s="40" t="s">
        <v>318</v>
      </c>
      <c r="O69" s="29">
        <f>COUNTIF(P69,"VRAI")</f>
        <v>1</v>
      </c>
      <c r="P69" s="39" t="b">
        <v>1</v>
      </c>
      <c r="Q69" s="38"/>
      <c r="R69" s="38">
        <v>21</v>
      </c>
      <c r="S69" s="56"/>
      <c r="T69" s="60"/>
    </row>
    <row r="70" spans="1:20" x14ac:dyDescent="0.25">
      <c r="A70" s="27" t="s">
        <v>302</v>
      </c>
      <c r="B70" s="5" t="s">
        <v>356</v>
      </c>
      <c r="C70" s="2" t="s">
        <v>267</v>
      </c>
      <c r="D70" s="2" t="s">
        <v>319</v>
      </c>
      <c r="E70" s="2" t="s">
        <v>373</v>
      </c>
      <c r="F70" s="2" t="s">
        <v>267</v>
      </c>
      <c r="G70" s="2" t="s">
        <v>256</v>
      </c>
      <c r="H70" s="2" t="s">
        <v>391</v>
      </c>
      <c r="I70" s="2" t="s">
        <v>267</v>
      </c>
      <c r="J70" s="2" t="s">
        <v>267</v>
      </c>
      <c r="K70" s="2" t="s">
        <v>267</v>
      </c>
      <c r="L70" s="2" t="s">
        <v>400</v>
      </c>
      <c r="M70" s="2" t="s">
        <v>246</v>
      </c>
      <c r="N70" s="2"/>
      <c r="O70" s="29">
        <f t="shared" ref="O70:O71" si="1">COUNTIF(P70,"VRAI")</f>
        <v>1</v>
      </c>
      <c r="P70" s="39" t="b">
        <v>1</v>
      </c>
      <c r="Q70" s="38"/>
      <c r="R70" s="38">
        <v>211</v>
      </c>
      <c r="S70" s="56"/>
      <c r="T70" s="60"/>
    </row>
    <row r="71" spans="1:20" x14ac:dyDescent="0.25">
      <c r="A71" s="27" t="s">
        <v>302</v>
      </c>
      <c r="B71" s="5" t="s">
        <v>357</v>
      </c>
      <c r="C71" s="2" t="s">
        <v>267</v>
      </c>
      <c r="D71" s="2" t="s">
        <v>319</v>
      </c>
      <c r="E71" s="2" t="s">
        <v>373</v>
      </c>
      <c r="F71" s="2" t="s">
        <v>267</v>
      </c>
      <c r="G71" s="2" t="s">
        <v>256</v>
      </c>
      <c r="H71" s="2" t="s">
        <v>391</v>
      </c>
      <c r="I71" s="2" t="s">
        <v>267</v>
      </c>
      <c r="J71" s="2" t="s">
        <v>267</v>
      </c>
      <c r="K71" s="2" t="s">
        <v>267</v>
      </c>
      <c r="L71" s="2"/>
      <c r="M71" s="2" t="s">
        <v>267</v>
      </c>
      <c r="N71" s="2" t="s">
        <v>267</v>
      </c>
      <c r="O71" s="29">
        <f t="shared" si="1"/>
        <v>0</v>
      </c>
      <c r="P71" s="39" t="b">
        <v>0</v>
      </c>
      <c r="Q71" s="38"/>
      <c r="R71" s="38"/>
      <c r="S71" s="56"/>
      <c r="T71" s="60"/>
    </row>
    <row r="72" spans="1:20" x14ac:dyDescent="0.25">
      <c r="A72" s="26" t="s">
        <v>39</v>
      </c>
      <c r="B72" s="26" t="s">
        <v>326</v>
      </c>
      <c r="C72" s="40" t="s">
        <v>317</v>
      </c>
      <c r="D72" s="40" t="s">
        <v>289</v>
      </c>
      <c r="E72" s="40" t="s">
        <v>292</v>
      </c>
      <c r="F72" s="40" t="s">
        <v>317</v>
      </c>
      <c r="G72" s="40" t="s">
        <v>289</v>
      </c>
      <c r="H72" s="40" t="s">
        <v>292</v>
      </c>
      <c r="I72" s="40" t="s">
        <v>317</v>
      </c>
      <c r="J72" s="40" t="s">
        <v>289</v>
      </c>
      <c r="K72" s="40" t="s">
        <v>292</v>
      </c>
      <c r="L72" s="40" t="s">
        <v>317</v>
      </c>
      <c r="M72" s="40" t="s">
        <v>289</v>
      </c>
      <c r="N72" s="40" t="s">
        <v>318</v>
      </c>
      <c r="O72" s="29">
        <f>COUNTIF(P72,"VRAI")</f>
        <v>1</v>
      </c>
      <c r="P72" s="34" t="b">
        <v>1</v>
      </c>
      <c r="Q72" s="38"/>
      <c r="R72" s="38">
        <v>22</v>
      </c>
      <c r="S72" s="56"/>
      <c r="T72" s="60"/>
    </row>
    <row r="73" spans="1:20" x14ac:dyDescent="0.25">
      <c r="A73" s="27" t="s">
        <v>302</v>
      </c>
      <c r="B73" s="5" t="s">
        <v>329</v>
      </c>
      <c r="C73" s="2" t="s">
        <v>374</v>
      </c>
      <c r="D73" s="2" t="s">
        <v>319</v>
      </c>
      <c r="E73" s="2" t="s">
        <v>366</v>
      </c>
      <c r="F73" s="4" t="s">
        <v>320</v>
      </c>
      <c r="G73" s="2" t="s">
        <v>319</v>
      </c>
      <c r="H73" s="2" t="s">
        <v>366</v>
      </c>
      <c r="I73" s="44" t="s">
        <v>258</v>
      </c>
      <c r="J73" s="2" t="s">
        <v>34</v>
      </c>
      <c r="K73" s="2" t="s">
        <v>366</v>
      </c>
      <c r="L73" s="1" t="s">
        <v>401</v>
      </c>
      <c r="M73" s="2" t="s">
        <v>246</v>
      </c>
      <c r="N73" s="4" t="s">
        <v>267</v>
      </c>
      <c r="O73" s="29">
        <f t="shared" ref="O73:O79" si="2">COUNTIF(P73,"VRAI")</f>
        <v>1</v>
      </c>
      <c r="P73" s="39" t="b">
        <v>1</v>
      </c>
      <c r="Q73" s="38"/>
      <c r="R73" s="38">
        <v>2211</v>
      </c>
      <c r="S73" s="56"/>
      <c r="T73" s="60"/>
    </row>
    <row r="74" spans="1:20" x14ac:dyDescent="0.25">
      <c r="A74" s="27" t="s">
        <v>363</v>
      </c>
      <c r="B74" s="5" t="s">
        <v>330</v>
      </c>
      <c r="C74" s="2" t="s">
        <v>374</v>
      </c>
      <c r="D74" s="2" t="s">
        <v>319</v>
      </c>
      <c r="E74" s="2" t="s">
        <v>254</v>
      </c>
      <c r="F74" s="4" t="s">
        <v>320</v>
      </c>
      <c r="G74" s="2" t="s">
        <v>246</v>
      </c>
      <c r="H74" s="2" t="s">
        <v>254</v>
      </c>
      <c r="I74" s="2" t="s">
        <v>267</v>
      </c>
      <c r="J74" s="2" t="s">
        <v>267</v>
      </c>
      <c r="K74" s="2" t="s">
        <v>267</v>
      </c>
      <c r="L74" s="1"/>
      <c r="M74" s="2" t="s">
        <v>267</v>
      </c>
      <c r="N74" s="2" t="s">
        <v>267</v>
      </c>
      <c r="O74" s="29">
        <f t="shared" si="2"/>
        <v>1</v>
      </c>
      <c r="P74" s="34" t="b">
        <v>1</v>
      </c>
      <c r="Q74" s="38"/>
      <c r="R74" s="38">
        <v>2212</v>
      </c>
      <c r="S74" s="56"/>
      <c r="T74" s="60"/>
    </row>
    <row r="75" spans="1:20" x14ac:dyDescent="0.25">
      <c r="A75" s="27" t="s">
        <v>363</v>
      </c>
      <c r="B75" s="5" t="s">
        <v>331</v>
      </c>
      <c r="C75" s="2" t="s">
        <v>374</v>
      </c>
      <c r="D75" s="2" t="s">
        <v>319</v>
      </c>
      <c r="E75" s="2" t="s">
        <v>254</v>
      </c>
      <c r="F75" s="2" t="s">
        <v>260</v>
      </c>
      <c r="G75" s="2" t="s">
        <v>246</v>
      </c>
      <c r="H75" s="2" t="s">
        <v>254</v>
      </c>
      <c r="I75" s="44" t="s">
        <v>267</v>
      </c>
      <c r="J75" s="2" t="s">
        <v>267</v>
      </c>
      <c r="K75" s="2" t="s">
        <v>267</v>
      </c>
      <c r="L75" s="1"/>
      <c r="M75" s="2" t="s">
        <v>267</v>
      </c>
      <c r="N75" s="2" t="s">
        <v>267</v>
      </c>
      <c r="O75" s="29">
        <f t="shared" si="2"/>
        <v>1</v>
      </c>
      <c r="P75" s="39" t="b">
        <v>1</v>
      </c>
      <c r="Q75" s="38"/>
      <c r="R75" s="38">
        <v>2213</v>
      </c>
      <c r="S75" s="56"/>
      <c r="T75" s="60"/>
    </row>
    <row r="76" spans="1:20" x14ac:dyDescent="0.25">
      <c r="A76" s="27" t="s">
        <v>302</v>
      </c>
      <c r="B76" s="5" t="s">
        <v>358</v>
      </c>
      <c r="C76" s="2" t="s">
        <v>374</v>
      </c>
      <c r="D76" s="2" t="s">
        <v>319</v>
      </c>
      <c r="E76" s="2" t="s">
        <v>254</v>
      </c>
      <c r="F76" s="2" t="s">
        <v>392</v>
      </c>
      <c r="G76" s="2" t="s">
        <v>319</v>
      </c>
      <c r="H76" s="2" t="s">
        <v>254</v>
      </c>
      <c r="I76" s="2" t="s">
        <v>267</v>
      </c>
      <c r="J76" s="2" t="s">
        <v>267</v>
      </c>
      <c r="K76" s="2" t="s">
        <v>267</v>
      </c>
      <c r="L76" s="2" t="s">
        <v>267</v>
      </c>
      <c r="M76" s="2" t="s">
        <v>267</v>
      </c>
      <c r="N76" s="2" t="s">
        <v>267</v>
      </c>
      <c r="O76" s="29">
        <f>COUNTIF(P76,"VRAI")</f>
        <v>1</v>
      </c>
      <c r="P76" s="39" t="b">
        <v>1</v>
      </c>
      <c r="Q76" s="38"/>
      <c r="R76" s="38">
        <v>2214</v>
      </c>
      <c r="S76" s="56"/>
      <c r="T76" s="60"/>
    </row>
    <row r="77" spans="1:20" x14ac:dyDescent="0.25">
      <c r="A77" s="27" t="s">
        <v>302</v>
      </c>
      <c r="B77" s="5" t="s">
        <v>359</v>
      </c>
      <c r="C77" s="2" t="s">
        <v>267</v>
      </c>
      <c r="D77" s="2" t="s">
        <v>267</v>
      </c>
      <c r="E77" s="2" t="s">
        <v>267</v>
      </c>
      <c r="F77" s="2" t="s">
        <v>267</v>
      </c>
      <c r="G77" s="2" t="s">
        <v>256</v>
      </c>
      <c r="H77" s="2" t="s">
        <v>393</v>
      </c>
      <c r="I77" s="44" t="s">
        <v>267</v>
      </c>
      <c r="J77" s="2" t="s">
        <v>267</v>
      </c>
      <c r="K77" s="2" t="s">
        <v>267</v>
      </c>
      <c r="L77" s="1"/>
      <c r="M77" s="2" t="s">
        <v>267</v>
      </c>
      <c r="N77" s="2" t="s">
        <v>267</v>
      </c>
      <c r="O77" s="29">
        <f t="shared" si="2"/>
        <v>1</v>
      </c>
      <c r="P77" s="39" t="b">
        <v>1</v>
      </c>
      <c r="Q77" s="38"/>
      <c r="R77" s="38">
        <v>2215</v>
      </c>
      <c r="S77" s="56"/>
      <c r="T77" s="60"/>
    </row>
    <row r="78" spans="1:20" x14ac:dyDescent="0.25">
      <c r="A78" s="27" t="s">
        <v>302</v>
      </c>
      <c r="B78" s="5" t="s">
        <v>327</v>
      </c>
      <c r="C78" s="2" t="s">
        <v>261</v>
      </c>
      <c r="D78" s="2" t="s">
        <v>247</v>
      </c>
      <c r="E78" s="2" t="s">
        <v>254</v>
      </c>
      <c r="F78" s="1" t="s">
        <v>394</v>
      </c>
      <c r="G78" s="2" t="s">
        <v>246</v>
      </c>
      <c r="H78" s="2" t="s">
        <v>254</v>
      </c>
      <c r="I78" s="2" t="s">
        <v>267</v>
      </c>
      <c r="J78" s="2" t="s">
        <v>267</v>
      </c>
      <c r="K78" s="2" t="s">
        <v>267</v>
      </c>
      <c r="L78" s="2" t="s">
        <v>267</v>
      </c>
      <c r="M78" s="2" t="s">
        <v>267</v>
      </c>
      <c r="N78" s="2" t="s">
        <v>267</v>
      </c>
      <c r="O78" s="29">
        <f t="shared" si="2"/>
        <v>1</v>
      </c>
      <c r="P78" s="39" t="b">
        <v>1</v>
      </c>
      <c r="Q78" s="38"/>
      <c r="R78" s="38">
        <v>2216</v>
      </c>
      <c r="S78" s="56"/>
      <c r="T78" s="60"/>
    </row>
    <row r="79" spans="1:20" x14ac:dyDescent="0.25">
      <c r="A79" s="27" t="s">
        <v>302</v>
      </c>
      <c r="B79" s="5" t="s">
        <v>328</v>
      </c>
      <c r="C79" s="2" t="s">
        <v>267</v>
      </c>
      <c r="D79" s="2" t="s">
        <v>319</v>
      </c>
      <c r="E79" s="2" t="s">
        <v>254</v>
      </c>
      <c r="F79" s="2" t="s">
        <v>267</v>
      </c>
      <c r="G79" s="2" t="s">
        <v>256</v>
      </c>
      <c r="H79" s="2" t="s">
        <v>381</v>
      </c>
      <c r="I79" s="2" t="s">
        <v>267</v>
      </c>
      <c r="J79" s="2" t="s">
        <v>267</v>
      </c>
      <c r="K79" s="2" t="s">
        <v>267</v>
      </c>
      <c r="L79" s="2" t="s">
        <v>267</v>
      </c>
      <c r="M79" s="2" t="s">
        <v>267</v>
      </c>
      <c r="N79" s="2" t="s">
        <v>267</v>
      </c>
      <c r="O79" s="29">
        <f t="shared" si="2"/>
        <v>1</v>
      </c>
      <c r="P79" s="39" t="b">
        <v>1</v>
      </c>
      <c r="Q79" s="38"/>
      <c r="R79" s="38">
        <v>222</v>
      </c>
      <c r="S79" s="56"/>
      <c r="T79" s="60"/>
    </row>
    <row r="80" spans="1:20" x14ac:dyDescent="0.25">
      <c r="A80" s="26" t="s">
        <v>39</v>
      </c>
      <c r="B80" s="26" t="s">
        <v>332</v>
      </c>
      <c r="C80" s="40" t="s">
        <v>317</v>
      </c>
      <c r="D80" s="40" t="s">
        <v>289</v>
      </c>
      <c r="E80" s="40" t="s">
        <v>292</v>
      </c>
      <c r="F80" s="40" t="s">
        <v>317</v>
      </c>
      <c r="G80" s="40" t="s">
        <v>289</v>
      </c>
      <c r="H80" s="40" t="s">
        <v>292</v>
      </c>
      <c r="I80" s="40" t="s">
        <v>317</v>
      </c>
      <c r="J80" s="40" t="s">
        <v>289</v>
      </c>
      <c r="K80" s="40" t="s">
        <v>292</v>
      </c>
      <c r="L80" s="40" t="s">
        <v>317</v>
      </c>
      <c r="M80" s="40" t="s">
        <v>289</v>
      </c>
      <c r="N80" s="40" t="s">
        <v>318</v>
      </c>
      <c r="O80" s="29">
        <f t="shared" ref="O80:O82" si="3">COUNTIF(P80,"VRAI")</f>
        <v>1</v>
      </c>
      <c r="P80" s="34" t="b">
        <v>1</v>
      </c>
      <c r="Q80" s="38"/>
      <c r="R80" s="38">
        <v>23</v>
      </c>
      <c r="S80" s="56"/>
      <c r="T80" s="60"/>
    </row>
    <row r="81" spans="1:20" x14ac:dyDescent="0.25">
      <c r="A81" s="27" t="s">
        <v>302</v>
      </c>
      <c r="B81" s="5" t="s">
        <v>333</v>
      </c>
      <c r="C81" s="2" t="s">
        <v>267</v>
      </c>
      <c r="D81" s="2" t="s">
        <v>267</v>
      </c>
      <c r="E81" s="2" t="s">
        <v>267</v>
      </c>
      <c r="F81" s="4" t="s">
        <v>395</v>
      </c>
      <c r="G81" s="2" t="s">
        <v>246</v>
      </c>
      <c r="H81" s="2" t="s">
        <v>254</v>
      </c>
      <c r="I81" s="44" t="s">
        <v>258</v>
      </c>
      <c r="J81" s="2" t="s">
        <v>34</v>
      </c>
      <c r="K81" s="2" t="s">
        <v>366</v>
      </c>
      <c r="L81" s="4" t="s">
        <v>259</v>
      </c>
      <c r="M81" s="2" t="s">
        <v>246</v>
      </c>
      <c r="N81" s="2" t="s">
        <v>267</v>
      </c>
      <c r="O81" s="32">
        <f t="shared" si="3"/>
        <v>1</v>
      </c>
      <c r="P81" s="36" t="b">
        <v>1</v>
      </c>
      <c r="Q81" s="35"/>
      <c r="R81" s="38">
        <v>231</v>
      </c>
      <c r="S81" s="56"/>
      <c r="T81" s="60"/>
    </row>
    <row r="82" spans="1:20" x14ac:dyDescent="0.25">
      <c r="A82" s="26" t="s">
        <v>39</v>
      </c>
      <c r="B82" s="26" t="s">
        <v>304</v>
      </c>
      <c r="C82" s="40" t="s">
        <v>317</v>
      </c>
      <c r="D82" s="40" t="s">
        <v>289</v>
      </c>
      <c r="E82" s="40" t="s">
        <v>292</v>
      </c>
      <c r="F82" s="40" t="s">
        <v>317</v>
      </c>
      <c r="G82" s="40" t="s">
        <v>289</v>
      </c>
      <c r="H82" s="40" t="s">
        <v>292</v>
      </c>
      <c r="I82" s="40" t="s">
        <v>317</v>
      </c>
      <c r="J82" s="40" t="s">
        <v>289</v>
      </c>
      <c r="K82" s="40" t="s">
        <v>292</v>
      </c>
      <c r="L82" s="40" t="s">
        <v>317</v>
      </c>
      <c r="M82" s="40" t="s">
        <v>289</v>
      </c>
      <c r="N82" s="40" t="s">
        <v>318</v>
      </c>
      <c r="O82" s="29">
        <f t="shared" si="3"/>
        <v>1</v>
      </c>
      <c r="P82" s="34" t="b">
        <v>1</v>
      </c>
      <c r="Q82" s="38"/>
      <c r="R82" s="38">
        <v>24</v>
      </c>
      <c r="S82" s="56"/>
      <c r="T82" s="60"/>
    </row>
    <row r="83" spans="1:20" x14ac:dyDescent="0.25">
      <c r="A83" s="27" t="s">
        <v>302</v>
      </c>
      <c r="B83" s="5" t="s">
        <v>360</v>
      </c>
      <c r="C83" s="2" t="s">
        <v>267</v>
      </c>
      <c r="D83" s="2" t="s">
        <v>319</v>
      </c>
      <c r="E83" s="2" t="s">
        <v>373</v>
      </c>
      <c r="F83" s="44" t="s">
        <v>267</v>
      </c>
      <c r="G83" s="2" t="s">
        <v>256</v>
      </c>
      <c r="H83" s="2" t="s">
        <v>396</v>
      </c>
      <c r="I83" s="4" t="s">
        <v>258</v>
      </c>
      <c r="J83" s="2" t="s">
        <v>34</v>
      </c>
      <c r="K83" s="2" t="s">
        <v>366</v>
      </c>
      <c r="L83" s="4" t="s">
        <v>402</v>
      </c>
      <c r="M83" s="2" t="s">
        <v>246</v>
      </c>
      <c r="N83" s="2" t="s">
        <v>267</v>
      </c>
      <c r="O83" s="29">
        <f t="shared" ref="O83:O88" si="4">COUNTIF(P83,"VRAI")</f>
        <v>1</v>
      </c>
      <c r="P83" s="39" t="b">
        <v>1</v>
      </c>
      <c r="Q83" s="38"/>
      <c r="R83" s="38">
        <v>241</v>
      </c>
      <c r="S83" s="56"/>
      <c r="T83" s="60"/>
    </row>
    <row r="84" spans="1:20" x14ac:dyDescent="0.25">
      <c r="A84" s="27" t="s">
        <v>363</v>
      </c>
      <c r="B84" s="5" t="s">
        <v>305</v>
      </c>
      <c r="C84" s="2" t="s">
        <v>267</v>
      </c>
      <c r="D84" s="2" t="s">
        <v>267</v>
      </c>
      <c r="E84" s="2" t="s">
        <v>267</v>
      </c>
      <c r="F84" s="4" t="s">
        <v>397</v>
      </c>
      <c r="G84" s="2" t="s">
        <v>246</v>
      </c>
      <c r="H84" s="2" t="s">
        <v>398</v>
      </c>
      <c r="I84" s="2" t="s">
        <v>267</v>
      </c>
      <c r="J84" s="2" t="s">
        <v>267</v>
      </c>
      <c r="K84" s="2" t="s">
        <v>267</v>
      </c>
      <c r="L84" s="2" t="s">
        <v>267</v>
      </c>
      <c r="M84" s="2" t="s">
        <v>267</v>
      </c>
      <c r="N84" s="2" t="s">
        <v>267</v>
      </c>
      <c r="O84" s="29">
        <f t="shared" si="4"/>
        <v>1</v>
      </c>
      <c r="P84" s="39" t="b">
        <v>1</v>
      </c>
      <c r="Q84" s="38"/>
      <c r="R84" s="38"/>
      <c r="S84" s="56"/>
      <c r="T84" s="60"/>
    </row>
    <row r="85" spans="1:20" x14ac:dyDescent="0.25">
      <c r="A85" s="27" t="s">
        <v>364</v>
      </c>
      <c r="B85" s="5" t="s">
        <v>361</v>
      </c>
      <c r="C85" s="2" t="s">
        <v>267</v>
      </c>
      <c r="D85" s="2" t="s">
        <v>319</v>
      </c>
      <c r="E85" s="2" t="s">
        <v>375</v>
      </c>
      <c r="F85" s="4" t="s">
        <v>399</v>
      </c>
      <c r="G85" s="2" t="s">
        <v>246</v>
      </c>
      <c r="H85" s="2" t="s">
        <v>398</v>
      </c>
      <c r="I85" s="2" t="s">
        <v>267</v>
      </c>
      <c r="J85" s="2" t="s">
        <v>267</v>
      </c>
      <c r="K85" s="2" t="s">
        <v>267</v>
      </c>
      <c r="L85" s="2" t="s">
        <v>267</v>
      </c>
      <c r="M85" s="2" t="s">
        <v>267</v>
      </c>
      <c r="N85" s="2" t="s">
        <v>267</v>
      </c>
      <c r="O85" s="29">
        <f t="shared" si="4"/>
        <v>1</v>
      </c>
      <c r="P85" s="39" t="b">
        <v>1</v>
      </c>
      <c r="Q85" s="38"/>
      <c r="R85" s="38"/>
      <c r="S85" s="56"/>
      <c r="T85" s="60"/>
    </row>
    <row r="86" spans="1:20" x14ac:dyDescent="0.25">
      <c r="A86" s="27" t="s">
        <v>364</v>
      </c>
      <c r="B86" s="5" t="s">
        <v>362</v>
      </c>
      <c r="C86" s="2" t="s">
        <v>267</v>
      </c>
      <c r="D86" s="2" t="s">
        <v>267</v>
      </c>
      <c r="E86" s="2" t="s">
        <v>267</v>
      </c>
      <c r="F86" s="4" t="s">
        <v>399</v>
      </c>
      <c r="G86" s="2" t="s">
        <v>246</v>
      </c>
      <c r="H86" s="2" t="s">
        <v>398</v>
      </c>
      <c r="I86" s="2" t="s">
        <v>267</v>
      </c>
      <c r="J86" s="2" t="s">
        <v>267</v>
      </c>
      <c r="K86" s="2" t="s">
        <v>267</v>
      </c>
      <c r="L86" s="2" t="s">
        <v>267</v>
      </c>
      <c r="M86" s="2" t="s">
        <v>267</v>
      </c>
      <c r="N86" s="2" t="s">
        <v>267</v>
      </c>
      <c r="O86" s="29">
        <f t="shared" si="4"/>
        <v>1</v>
      </c>
      <c r="P86" s="39" t="b">
        <v>1</v>
      </c>
      <c r="Q86" s="38"/>
      <c r="R86" s="38"/>
      <c r="S86" s="56"/>
      <c r="T86" s="60"/>
    </row>
    <row r="87" spans="1:20" x14ac:dyDescent="0.25">
      <c r="A87" s="27" t="s">
        <v>364</v>
      </c>
      <c r="B87" s="5" t="s">
        <v>301</v>
      </c>
      <c r="C87" s="2" t="s">
        <v>267</v>
      </c>
      <c r="D87" s="2" t="s">
        <v>267</v>
      </c>
      <c r="E87" s="2" t="s">
        <v>267</v>
      </c>
      <c r="F87" s="4" t="s">
        <v>399</v>
      </c>
      <c r="G87" s="2" t="s">
        <v>246</v>
      </c>
      <c r="H87" s="2" t="s">
        <v>398</v>
      </c>
      <c r="I87" s="2" t="s">
        <v>267</v>
      </c>
      <c r="J87" s="2" t="s">
        <v>267</v>
      </c>
      <c r="K87" s="2" t="s">
        <v>267</v>
      </c>
      <c r="L87" s="2" t="s">
        <v>267</v>
      </c>
      <c r="M87" s="2" t="s">
        <v>267</v>
      </c>
      <c r="N87" s="2" t="s">
        <v>267</v>
      </c>
      <c r="O87" s="29">
        <f t="shared" si="4"/>
        <v>1</v>
      </c>
      <c r="P87" s="39" t="b">
        <v>1</v>
      </c>
      <c r="Q87" s="38"/>
      <c r="R87" s="38"/>
      <c r="S87" s="56"/>
      <c r="T87" s="60"/>
    </row>
    <row r="88" spans="1:20" x14ac:dyDescent="0.25">
      <c r="A88" s="27" t="s">
        <v>363</v>
      </c>
      <c r="B88" s="5" t="s">
        <v>303</v>
      </c>
      <c r="C88" s="2" t="s">
        <v>376</v>
      </c>
      <c r="D88" s="2" t="s">
        <v>319</v>
      </c>
      <c r="E88" s="2" t="s">
        <v>377</v>
      </c>
      <c r="F88" s="4" t="s">
        <v>257</v>
      </c>
      <c r="G88" s="2" t="s">
        <v>246</v>
      </c>
      <c r="H88" s="2" t="s">
        <v>254</v>
      </c>
      <c r="I88" s="2" t="s">
        <v>267</v>
      </c>
      <c r="J88" s="2" t="s">
        <v>267</v>
      </c>
      <c r="K88" s="2" t="s">
        <v>267</v>
      </c>
      <c r="L88" s="2" t="s">
        <v>267</v>
      </c>
      <c r="M88" s="2" t="s">
        <v>267</v>
      </c>
      <c r="N88" s="2" t="s">
        <v>267</v>
      </c>
      <c r="O88" s="29">
        <f t="shared" si="4"/>
        <v>1</v>
      </c>
      <c r="P88" s="39" t="b">
        <v>1</v>
      </c>
      <c r="Q88" s="38"/>
      <c r="R88" s="38"/>
      <c r="S88" s="56"/>
      <c r="T88" s="60"/>
    </row>
    <row r="90" spans="1:20" ht="26.25" hidden="1" customHeight="1" x14ac:dyDescent="0.25">
      <c r="E90" s="5" t="s">
        <v>299</v>
      </c>
      <c r="F90" s="33">
        <f>SUM(O34)</f>
        <v>1</v>
      </c>
      <c r="G90" s="5" t="s">
        <v>300</v>
      </c>
      <c r="H90" s="33">
        <f>SUM(O40)</f>
        <v>1</v>
      </c>
      <c r="I90" s="33" t="s">
        <v>296</v>
      </c>
      <c r="J90" s="33">
        <f>SUM(O47)</f>
        <v>1</v>
      </c>
      <c r="K90" s="5" t="s">
        <v>297</v>
      </c>
      <c r="L90" s="33">
        <f>SUM(O48,O69,O72,O80,O82)</f>
        <v>5</v>
      </c>
      <c r="M90" s="5" t="s">
        <v>298</v>
      </c>
      <c r="N90" s="29">
        <f>SUM(O49:O68,O70:O71,O73:O79,O81,O83:O88)</f>
        <v>35</v>
      </c>
      <c r="O90" s="5"/>
    </row>
    <row r="92" spans="1:20" ht="18.75" x14ac:dyDescent="0.3">
      <c r="E92" s="48" t="str">
        <f>IF(OR($J$90=0,$L$90=0,$N$90= 0),"Veuillez renseigner des volets/blocs/garanties","")</f>
        <v/>
      </c>
      <c r="F92" s="48"/>
      <c r="G92" s="48"/>
      <c r="H92" s="48"/>
      <c r="I92" s="48"/>
    </row>
    <row r="93" spans="1:20" ht="18.75" x14ac:dyDescent="0.3">
      <c r="E93" s="48" t="str">
        <f>IF(OR($F$90=0,$H$90=0),"Veuillez renseigner des Risques/Objets","")</f>
        <v/>
      </c>
      <c r="F93" s="48"/>
      <c r="G93" s="48"/>
      <c r="H93" s="48"/>
      <c r="I93" s="48"/>
    </row>
  </sheetData>
  <mergeCells count="19">
    <mergeCell ref="B1:I1"/>
    <mergeCell ref="S30:T31"/>
    <mergeCell ref="S40:S45"/>
    <mergeCell ref="O25:O33"/>
    <mergeCell ref="F8:J8"/>
    <mergeCell ref="F9:J9"/>
    <mergeCell ref="T34:T88"/>
    <mergeCell ref="S46:S88"/>
    <mergeCell ref="I46:K46"/>
    <mergeCell ref="L46:N46"/>
    <mergeCell ref="C46:E46"/>
    <mergeCell ref="F46:H46"/>
    <mergeCell ref="L47:N47"/>
    <mergeCell ref="F22:K22"/>
    <mergeCell ref="E92:I92"/>
    <mergeCell ref="E93:I93"/>
    <mergeCell ref="C47:E47"/>
    <mergeCell ref="F47:H47"/>
    <mergeCell ref="I47:K47"/>
  </mergeCells>
  <dataValidations count="7">
    <dataValidation type="list" allowBlank="1" showInputMessage="1" showErrorMessage="1" sqref="C7">
      <formula1>INDIRECT(B7)</formula1>
    </dataValidation>
    <dataValidation type="date" operator="greaterThanOrEqual" allowBlank="1" showInputMessage="1" showErrorMessage="1" sqref="D11 D37 D43">
      <formula1>B11</formula1>
    </dataValidation>
    <dataValidation type="date" operator="lessThanOrEqual" allowBlank="1" showInputMessage="1" showErrorMessage="1" sqref="B37 B43">
      <formula1>D37</formula1>
    </dataValidation>
    <dataValidation type="date" operator="lessThanOrEqual" allowBlank="1" showInputMessage="1" showErrorMessage="1" sqref="B10">
      <formula1>B11</formula1>
    </dataValidation>
    <dataValidation type="whole" allowBlank="1" showInputMessage="1" showErrorMessage="1" sqref="G24">
      <formula1>0</formula1>
      <formula2>99999</formula2>
    </dataValidation>
    <dataValidation type="date" operator="greaterThanOrEqual" allowBlank="1" showInputMessage="1" showErrorMessage="1" errorTitle="Date erronée" error="La date d'effet doit être supérieure au 1er janvier 2017" sqref="B11">
      <formula1>P6</formula1>
    </dataValidation>
    <dataValidation type="list" showInputMessage="1" showErrorMessage="1" sqref="I23">
      <formula1>",Bis,Ter"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16" r:id="rId4" name="MaCB">
              <controlPr defaultSize="0" autoFill="0" autoLine="0" autoPict="0" macro="[0]!MaCB_Cliquer">
                <anchor moveWithCells="1">
                  <from>
                    <xdr:col>16</xdr:col>
                    <xdr:colOff>85725</xdr:colOff>
                    <xdr:row>32</xdr:row>
                    <xdr:rowOff>180975</xdr:rowOff>
                  </from>
                  <to>
                    <xdr:col>16</xdr:col>
                    <xdr:colOff>323850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5" name="Obj1CB">
              <controlPr defaultSize="0" autoFill="0" autoLine="0" autoPict="0">
                <anchor moveWithCells="1">
                  <from>
                    <xdr:col>16</xdr:col>
                    <xdr:colOff>95250</xdr:colOff>
                    <xdr:row>39</xdr:row>
                    <xdr:rowOff>19050</xdr:rowOff>
                  </from>
                  <to>
                    <xdr:col>16</xdr:col>
                    <xdr:colOff>285750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6" name="Vol1CB">
              <controlPr defaultSize="0" autoFill="0" autoLine="0" autoPict="0" macro="[0]!Vol1CB_Cliquer">
                <anchor moveWithCells="1">
                  <from>
                    <xdr:col>16</xdr:col>
                    <xdr:colOff>85725</xdr:colOff>
                    <xdr:row>46</xdr:row>
                    <xdr:rowOff>9525</xdr:rowOff>
                  </from>
                  <to>
                    <xdr:col>16</xdr:col>
                    <xdr:colOff>276225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7" name="Bloc11CB">
              <controlPr defaultSize="0" autoFill="0" autoLine="0" autoPict="0" macro="[0]!Bloc11CB_Cliquer">
                <anchor moveWithCells="1">
                  <from>
                    <xdr:col>16</xdr:col>
                    <xdr:colOff>85725</xdr:colOff>
                    <xdr:row>47</xdr:row>
                    <xdr:rowOff>0</xdr:rowOff>
                  </from>
                  <to>
                    <xdr:col>16</xdr:col>
                    <xdr:colOff>276225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8" name="Garantie111CB">
              <controlPr defaultSize="0" autoFill="0" autoLine="0" autoPict="0" macro="[0]!Garantie111CB_Cliquer">
                <anchor moveWithCells="1">
                  <from>
                    <xdr:col>16</xdr:col>
                    <xdr:colOff>85725</xdr:colOff>
                    <xdr:row>48</xdr:row>
                    <xdr:rowOff>9525</xdr:rowOff>
                  </from>
                  <to>
                    <xdr:col>16</xdr:col>
                    <xdr:colOff>276225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9" name="Garantie112CB">
              <controlPr defaultSize="0" autoFill="0" autoLine="0" autoPict="0" macro="[0]!Garantie112CB_Cliquer">
                <anchor moveWithCells="1">
                  <from>
                    <xdr:col>16</xdr:col>
                    <xdr:colOff>85725</xdr:colOff>
                    <xdr:row>49</xdr:row>
                    <xdr:rowOff>9525</xdr:rowOff>
                  </from>
                  <to>
                    <xdr:col>16</xdr:col>
                    <xdr:colOff>276225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10" name="Garantie113CB">
              <controlPr defaultSize="0" autoFill="0" autoLine="0" autoPict="0" macro="[0]!Garantie113CB_Cliquer">
                <anchor moveWithCells="1">
                  <from>
                    <xdr:col>16</xdr:col>
                    <xdr:colOff>85725</xdr:colOff>
                    <xdr:row>50</xdr:row>
                    <xdr:rowOff>9525</xdr:rowOff>
                  </from>
                  <to>
                    <xdr:col>16</xdr:col>
                    <xdr:colOff>276225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11" name="Garantie114CB">
              <controlPr defaultSize="0" autoFill="0" autoLine="0" autoPict="0" macro="[0]!Garantie114CB_Cliquer">
                <anchor moveWithCells="1">
                  <from>
                    <xdr:col>16</xdr:col>
                    <xdr:colOff>85725</xdr:colOff>
                    <xdr:row>51</xdr:row>
                    <xdr:rowOff>9525</xdr:rowOff>
                  </from>
                  <to>
                    <xdr:col>16</xdr:col>
                    <xdr:colOff>276225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12" name="Garantie115CB">
              <controlPr defaultSize="0" autoFill="0" autoLine="0" autoPict="0" macro="[0]!Garantie115CB_Cliquer">
                <anchor moveWithCells="1">
                  <from>
                    <xdr:col>16</xdr:col>
                    <xdr:colOff>85725</xdr:colOff>
                    <xdr:row>52</xdr:row>
                    <xdr:rowOff>19050</xdr:rowOff>
                  </from>
                  <to>
                    <xdr:col>16</xdr:col>
                    <xdr:colOff>276225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13" name="Garantie1120CB">
              <controlPr defaultSize="0" autoFill="0" autoLine="0" autoPict="0" macro="[0]!Garantie1120CB_Cliquer">
                <anchor moveWithCells="1">
                  <from>
                    <xdr:col>16</xdr:col>
                    <xdr:colOff>95250</xdr:colOff>
                    <xdr:row>67</xdr:row>
                    <xdr:rowOff>9525</xdr:rowOff>
                  </from>
                  <to>
                    <xdr:col>16</xdr:col>
                    <xdr:colOff>285750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14" name="Bloc12CB">
              <controlPr defaultSize="0" autoFill="0" autoLine="0" autoPict="0" macro="[0]!Bloc12CB_Cliquer">
                <anchor moveWithCells="1">
                  <from>
                    <xdr:col>16</xdr:col>
                    <xdr:colOff>95250</xdr:colOff>
                    <xdr:row>68</xdr:row>
                    <xdr:rowOff>9525</xdr:rowOff>
                  </from>
                  <to>
                    <xdr:col>16</xdr:col>
                    <xdr:colOff>285750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15" name="Garantie121CB">
              <controlPr defaultSize="0" autoFill="0" autoLine="0" autoPict="0" macro="[0]!Garantie121CB_Cliquer">
                <anchor moveWithCells="1">
                  <from>
                    <xdr:col>16</xdr:col>
                    <xdr:colOff>95250</xdr:colOff>
                    <xdr:row>69</xdr:row>
                    <xdr:rowOff>0</xdr:rowOff>
                  </from>
                  <to>
                    <xdr:col>16</xdr:col>
                    <xdr:colOff>285750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16" name="Bloc13CB">
              <controlPr defaultSize="0" autoFill="0" autoLine="0" autoPict="0" macro="[0]!Bloc13CB_Cliquer">
                <anchor moveWithCells="1">
                  <from>
                    <xdr:col>16</xdr:col>
                    <xdr:colOff>95250</xdr:colOff>
                    <xdr:row>71</xdr:row>
                    <xdr:rowOff>9525</xdr:rowOff>
                  </from>
                  <to>
                    <xdr:col>16</xdr:col>
                    <xdr:colOff>285750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17" name="Garantie131CB">
              <controlPr defaultSize="0" autoFill="0" autoLine="0" autoPict="0" macro="[0]!Garantie131CB_Cliquer">
                <anchor moveWithCells="1">
                  <from>
                    <xdr:col>16</xdr:col>
                    <xdr:colOff>95250</xdr:colOff>
                    <xdr:row>72</xdr:row>
                    <xdr:rowOff>9525</xdr:rowOff>
                  </from>
                  <to>
                    <xdr:col>16</xdr:col>
                    <xdr:colOff>285750</xdr:colOff>
                    <xdr:row>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18" name="Garantie1311CB">
              <controlPr defaultSize="0" autoFill="0" autoLine="0" autoPict="0" macro="[0]!Garantie1311CB_Cliquer">
                <anchor moveWithCells="1">
                  <from>
                    <xdr:col>16</xdr:col>
                    <xdr:colOff>95250</xdr:colOff>
                    <xdr:row>73</xdr:row>
                    <xdr:rowOff>19050</xdr:rowOff>
                  </from>
                  <to>
                    <xdr:col>16</xdr:col>
                    <xdr:colOff>285750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19" name="Garantie1312CB">
              <controlPr defaultSize="0" autoFill="0" autoLine="0" autoPict="0" macro="[0]!Garantie1312CB_Cliquer">
                <anchor moveWithCells="1">
                  <from>
                    <xdr:col>16</xdr:col>
                    <xdr:colOff>95250</xdr:colOff>
                    <xdr:row>74</xdr:row>
                    <xdr:rowOff>19050</xdr:rowOff>
                  </from>
                  <to>
                    <xdr:col>16</xdr:col>
                    <xdr:colOff>285750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20" name="Garantie132CB">
              <controlPr defaultSize="0" autoFill="0" autoLine="0" autoPict="0" macro="[0]!Garantie132CB_Cliquer">
                <anchor moveWithCells="1">
                  <from>
                    <xdr:col>16</xdr:col>
                    <xdr:colOff>95250</xdr:colOff>
                    <xdr:row>75</xdr:row>
                    <xdr:rowOff>28575</xdr:rowOff>
                  </from>
                  <to>
                    <xdr:col>16</xdr:col>
                    <xdr:colOff>285750</xdr:colOff>
                    <xdr:row>76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21" name="Garantie133CB">
              <controlPr defaultSize="0" autoFill="0" autoLine="0" autoPict="0" macro="[0]!Garantie133CB_Cliquer">
                <anchor moveWithCells="1">
                  <from>
                    <xdr:col>16</xdr:col>
                    <xdr:colOff>95250</xdr:colOff>
                    <xdr:row>76</xdr:row>
                    <xdr:rowOff>28575</xdr:rowOff>
                  </from>
                  <to>
                    <xdr:col>16</xdr:col>
                    <xdr:colOff>285750</xdr:colOff>
                    <xdr:row>77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22" name="Garantie134CB">
              <controlPr defaultSize="0" autoFill="0" autoLine="0" autoPict="0" macro="[0]!Garantie134CB_Cliquer">
                <anchor moveWithCells="1">
                  <from>
                    <xdr:col>16</xdr:col>
                    <xdr:colOff>95250</xdr:colOff>
                    <xdr:row>77</xdr:row>
                    <xdr:rowOff>28575</xdr:rowOff>
                  </from>
                  <to>
                    <xdr:col>16</xdr:col>
                    <xdr:colOff>285750</xdr:colOff>
                    <xdr:row>78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23" name="Garantie135CB">
              <controlPr defaultSize="0" autoFill="0" autoLine="0" autoPict="0" macro="[0]!Garantie135CB_Cliquer">
                <anchor moveWithCells="1">
                  <from>
                    <xdr:col>16</xdr:col>
                    <xdr:colOff>95250</xdr:colOff>
                    <xdr:row>78</xdr:row>
                    <xdr:rowOff>28575</xdr:rowOff>
                  </from>
                  <to>
                    <xdr:col>16</xdr:col>
                    <xdr:colOff>285750</xdr:colOff>
                    <xdr:row>79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24" name="Bloc14CB">
              <controlPr defaultSize="0" autoFill="0" autoLine="0" autoPict="0" macro="[0]!Bloc14CB_Cliquer">
                <anchor moveWithCells="1">
                  <from>
                    <xdr:col>16</xdr:col>
                    <xdr:colOff>95250</xdr:colOff>
                    <xdr:row>79</xdr:row>
                    <xdr:rowOff>9525</xdr:rowOff>
                  </from>
                  <to>
                    <xdr:col>16</xdr:col>
                    <xdr:colOff>285750</xdr:colOff>
                    <xdr:row>80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25" name="Bloc15CB">
              <controlPr defaultSize="0" autoFill="0" autoLine="0" autoPict="0" macro="[0]!Bloc15CB_Cliquer">
                <anchor moveWithCells="1">
                  <from>
                    <xdr:col>16</xdr:col>
                    <xdr:colOff>95250</xdr:colOff>
                    <xdr:row>81</xdr:row>
                    <xdr:rowOff>9525</xdr:rowOff>
                  </from>
                  <to>
                    <xdr:col>16</xdr:col>
                    <xdr:colOff>285750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26" name="Garantie141CB">
              <controlPr defaultSize="0" autoFill="0" autoLine="0" autoPict="0" macro="[0]!Garantie141CB_Cliquer">
                <anchor moveWithCells="1">
                  <from>
                    <xdr:col>16</xdr:col>
                    <xdr:colOff>95250</xdr:colOff>
                    <xdr:row>80</xdr:row>
                    <xdr:rowOff>19050</xdr:rowOff>
                  </from>
                  <to>
                    <xdr:col>16</xdr:col>
                    <xdr:colOff>285750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27" name="Garantie151CB">
              <controlPr defaultSize="0" autoFill="0" autoLine="0" autoPict="0" macro="[0]!Garantie151CB_Cliquer">
                <anchor moveWithCells="1">
                  <from>
                    <xdr:col>16</xdr:col>
                    <xdr:colOff>95250</xdr:colOff>
                    <xdr:row>82</xdr:row>
                    <xdr:rowOff>0</xdr:rowOff>
                  </from>
                  <to>
                    <xdr:col>16</xdr:col>
                    <xdr:colOff>285750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" r:id="rId28" name="Garantie122CB">
              <controlPr defaultSize="0" autoFill="0" autoLine="0" autoPict="0" macro="[0]!Garantie122CB_Cliquer">
                <anchor moveWithCells="1">
                  <from>
                    <xdr:col>16</xdr:col>
                    <xdr:colOff>95250</xdr:colOff>
                    <xdr:row>69</xdr:row>
                    <xdr:rowOff>180975</xdr:rowOff>
                  </from>
                  <to>
                    <xdr:col>16</xdr:col>
                    <xdr:colOff>285750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" r:id="rId29" name="Garantie116CB">
              <controlPr defaultSize="0" autoFill="0" autoLine="0" autoPict="0" macro="[0]!Garantie116CB_Cliquer">
                <anchor moveWithCells="1">
                  <from>
                    <xdr:col>16</xdr:col>
                    <xdr:colOff>85725</xdr:colOff>
                    <xdr:row>53</xdr:row>
                    <xdr:rowOff>9525</xdr:rowOff>
                  </from>
                  <to>
                    <xdr:col>16</xdr:col>
                    <xdr:colOff>276225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" r:id="rId30" name="Garantie117CB">
              <controlPr defaultSize="0" autoFill="0" autoLine="0" autoPict="0" macro="[0]!Garantie117CB_Cliquer">
                <anchor moveWithCells="1">
                  <from>
                    <xdr:col>16</xdr:col>
                    <xdr:colOff>85725</xdr:colOff>
                    <xdr:row>54</xdr:row>
                    <xdr:rowOff>0</xdr:rowOff>
                  </from>
                  <to>
                    <xdr:col>16</xdr:col>
                    <xdr:colOff>276225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" r:id="rId31" name="Garantie118CB">
              <controlPr defaultSize="0" autoFill="0" autoLine="0" autoPict="0" macro="[0]!Garantie118CB_Cliquer">
                <anchor moveWithCells="1">
                  <from>
                    <xdr:col>16</xdr:col>
                    <xdr:colOff>85725</xdr:colOff>
                    <xdr:row>55</xdr:row>
                    <xdr:rowOff>0</xdr:rowOff>
                  </from>
                  <to>
                    <xdr:col>16</xdr:col>
                    <xdr:colOff>276225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" r:id="rId32" name="Garantie119CB">
              <controlPr defaultSize="0" autoFill="0" autoLine="0" autoPict="0" macro="[0]!Garantie119CB_Cliquer">
                <anchor moveWithCells="1">
                  <from>
                    <xdr:col>16</xdr:col>
                    <xdr:colOff>85725</xdr:colOff>
                    <xdr:row>56</xdr:row>
                    <xdr:rowOff>9525</xdr:rowOff>
                  </from>
                  <to>
                    <xdr:col>16</xdr:col>
                    <xdr:colOff>276225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" r:id="rId33" name="Garantie1110CB">
              <controlPr defaultSize="0" autoFill="0" autoLine="0" autoPict="0" macro="[0]!Garantie1110CB_Cliquer">
                <anchor moveWithCells="1">
                  <from>
                    <xdr:col>16</xdr:col>
                    <xdr:colOff>85725</xdr:colOff>
                    <xdr:row>57</xdr:row>
                    <xdr:rowOff>9525</xdr:rowOff>
                  </from>
                  <to>
                    <xdr:col>16</xdr:col>
                    <xdr:colOff>276225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" r:id="rId34" name="Garantie1111CB">
              <controlPr defaultSize="0" autoFill="0" autoLine="0" autoPict="0" macro="[0]!Garantie1111CB_Cliquer">
                <anchor moveWithCells="1">
                  <from>
                    <xdr:col>16</xdr:col>
                    <xdr:colOff>85725</xdr:colOff>
                    <xdr:row>58</xdr:row>
                    <xdr:rowOff>9525</xdr:rowOff>
                  </from>
                  <to>
                    <xdr:col>16</xdr:col>
                    <xdr:colOff>276225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" r:id="rId35" name="Garantie1112CB">
              <controlPr defaultSize="0" autoFill="0" autoLine="0" autoPict="0" macro="[0]!Garantie1112CB_Cliquer">
                <anchor moveWithCells="1">
                  <from>
                    <xdr:col>16</xdr:col>
                    <xdr:colOff>85725</xdr:colOff>
                    <xdr:row>59</xdr:row>
                    <xdr:rowOff>0</xdr:rowOff>
                  </from>
                  <to>
                    <xdr:col>16</xdr:col>
                    <xdr:colOff>276225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" r:id="rId36" name="Garantie1113CB">
              <controlPr defaultSize="0" autoFill="0" autoLine="0" autoPict="0" macro="[0]!Garantie1113CB_Cliquer">
                <anchor moveWithCells="1">
                  <from>
                    <xdr:col>16</xdr:col>
                    <xdr:colOff>85725</xdr:colOff>
                    <xdr:row>60</xdr:row>
                    <xdr:rowOff>9525</xdr:rowOff>
                  </from>
                  <to>
                    <xdr:col>16</xdr:col>
                    <xdr:colOff>276225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" r:id="rId37" name="Garantie1114CB">
              <controlPr defaultSize="0" autoFill="0" autoLine="0" autoPict="0" macro="[0]!Garantie114CB_Cliquer">
                <anchor moveWithCells="1">
                  <from>
                    <xdr:col>16</xdr:col>
                    <xdr:colOff>85725</xdr:colOff>
                    <xdr:row>61</xdr:row>
                    <xdr:rowOff>0</xdr:rowOff>
                  </from>
                  <to>
                    <xdr:col>16</xdr:col>
                    <xdr:colOff>276225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" r:id="rId38" name="Garantie1115CB">
              <controlPr defaultSize="0" autoFill="0" autoLine="0" autoPict="0" macro="[0]!Garantie1115CB_Cliquer">
                <anchor moveWithCells="1">
                  <from>
                    <xdr:col>16</xdr:col>
                    <xdr:colOff>85725</xdr:colOff>
                    <xdr:row>62</xdr:row>
                    <xdr:rowOff>0</xdr:rowOff>
                  </from>
                  <to>
                    <xdr:col>16</xdr:col>
                    <xdr:colOff>276225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" r:id="rId39" name="Garantie1116CB">
              <controlPr defaultSize="0" autoFill="0" autoLine="0" autoPict="0" macro="[0]!Garantie1116CB_Cliquer">
                <anchor moveWithCells="1">
                  <from>
                    <xdr:col>16</xdr:col>
                    <xdr:colOff>85725</xdr:colOff>
                    <xdr:row>63</xdr:row>
                    <xdr:rowOff>0</xdr:rowOff>
                  </from>
                  <to>
                    <xdr:col>16</xdr:col>
                    <xdr:colOff>276225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" r:id="rId40" name="Garantie1117CB">
              <controlPr defaultSize="0" autoFill="0" autoLine="0" autoPict="0" macro="[0]!Garantie1117CB_Cliquer">
                <anchor moveWithCells="1">
                  <from>
                    <xdr:col>16</xdr:col>
                    <xdr:colOff>85725</xdr:colOff>
                    <xdr:row>64</xdr:row>
                    <xdr:rowOff>0</xdr:rowOff>
                  </from>
                  <to>
                    <xdr:col>16</xdr:col>
                    <xdr:colOff>276225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" r:id="rId41" name="Garantie1118CB">
              <controlPr defaultSize="0" autoFill="0" autoLine="0" autoPict="0" macro="[0]!Garantie1118CB_Cliquer">
                <anchor moveWithCells="1">
                  <from>
                    <xdr:col>16</xdr:col>
                    <xdr:colOff>85725</xdr:colOff>
                    <xdr:row>64</xdr:row>
                    <xdr:rowOff>180975</xdr:rowOff>
                  </from>
                  <to>
                    <xdr:col>16</xdr:col>
                    <xdr:colOff>276225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" r:id="rId42" name="Garantie1119CB">
              <controlPr defaultSize="0" autoFill="0" autoLine="0" autoPict="0" macro="[0]!Garantie1119CB_Cliquer">
                <anchor moveWithCells="1">
                  <from>
                    <xdr:col>16</xdr:col>
                    <xdr:colOff>85725</xdr:colOff>
                    <xdr:row>66</xdr:row>
                    <xdr:rowOff>0</xdr:rowOff>
                  </from>
                  <to>
                    <xdr:col>16</xdr:col>
                    <xdr:colOff>276225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" r:id="rId43" name="Garantie1511CB">
              <controlPr defaultSize="0" autoFill="0" autoLine="0" autoPict="0" macro="[0]!Garantie1511CB_Cliquer">
                <anchor moveWithCells="1">
                  <from>
                    <xdr:col>16</xdr:col>
                    <xdr:colOff>95250</xdr:colOff>
                    <xdr:row>82</xdr:row>
                    <xdr:rowOff>180975</xdr:rowOff>
                  </from>
                  <to>
                    <xdr:col>16</xdr:col>
                    <xdr:colOff>285750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4" r:id="rId44" name="Garantie15111CB">
              <controlPr defaultSize="0" autoFill="0" autoLine="0" autoPict="0" macro="[0]!Garantie15111CB_Cliquer">
                <anchor moveWithCells="1">
                  <from>
                    <xdr:col>16</xdr:col>
                    <xdr:colOff>95250</xdr:colOff>
                    <xdr:row>83</xdr:row>
                    <xdr:rowOff>180975</xdr:rowOff>
                  </from>
                  <to>
                    <xdr:col>16</xdr:col>
                    <xdr:colOff>285750</xdr:colOff>
                    <xdr:row>84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5" r:id="rId45" name="Garantie15112CB">
              <controlPr defaultSize="0" autoFill="0" autoLine="0" autoPict="0" macro="[0]!Garantie15112CB_Cliquer">
                <anchor moveWithCells="1">
                  <from>
                    <xdr:col>16</xdr:col>
                    <xdr:colOff>95250</xdr:colOff>
                    <xdr:row>85</xdr:row>
                    <xdr:rowOff>0</xdr:rowOff>
                  </from>
                  <to>
                    <xdr:col>16</xdr:col>
                    <xdr:colOff>285750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6" r:id="rId46" name="Garantie15113CB">
              <controlPr defaultSize="0" autoFill="0" autoLine="0" autoPict="0" macro="[0]!Garantie15113CB_Cliquer">
                <anchor moveWithCells="1">
                  <from>
                    <xdr:col>16</xdr:col>
                    <xdr:colOff>95250</xdr:colOff>
                    <xdr:row>86</xdr:row>
                    <xdr:rowOff>0</xdr:rowOff>
                  </from>
                  <to>
                    <xdr:col>16</xdr:col>
                    <xdr:colOff>285750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7" r:id="rId47" name="Garantie1512CB">
              <controlPr defaultSize="0" autoFill="0" autoLine="0" autoPict="0" macro="[0]!Garantie1512CB_Cliquer">
                <anchor moveWithCells="1">
                  <from>
                    <xdr:col>16</xdr:col>
                    <xdr:colOff>95250</xdr:colOff>
                    <xdr:row>86</xdr:row>
                    <xdr:rowOff>180975</xdr:rowOff>
                  </from>
                  <to>
                    <xdr:col>16</xdr:col>
                    <xdr:colOff>285750</xdr:colOff>
                    <xdr:row>87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Referentiels!$A$2:$A$14</xm:f>
          </x14:formula1>
          <xm:sqref>B7</xm:sqref>
        </x14:dataValidation>
        <x14:dataValidation type="list" allowBlank="1" showInputMessage="1" showErrorMessage="1">
          <x14:formula1>
            <xm:f>Referentiels!$A$23:$A$28</xm:f>
          </x14:formula1>
          <xm:sqref>B12</xm:sqref>
        </x14:dataValidation>
        <x14:dataValidation type="list" allowBlank="1" showInputMessage="1" showErrorMessage="1">
          <x14:formula1>
            <xm:f>Referentiels!$B$23:$B$107</xm:f>
          </x14:formula1>
          <xm:sqref>B28</xm:sqref>
        </x14:dataValidation>
        <x14:dataValidation type="list" allowBlank="1" showInputMessage="1" showErrorMessage="1">
          <x14:formula1>
            <xm:f>Referentiels!$C$23:$C$29</xm:f>
          </x14:formula1>
          <xm:sqref>B41</xm:sqref>
        </x14:dataValidation>
        <x14:dataValidation type="list" allowBlank="1" showInputMessage="1" showErrorMessage="1">
          <x14:formula1>
            <xm:f>Referentiels!$D$23:$D$24</xm:f>
          </x14:formula1>
          <xm:sqref>E4</xm:sqref>
        </x14:dataValidation>
        <x14:dataValidation type="list" allowBlank="1" showInputMessage="1" showErrorMessage="1">
          <x14:formula1>
            <xm:f>Referentiels!$E$23:$E$40</xm:f>
          </x14:formula1>
          <xm:sqref>B38 B44</xm:sqref>
        </x14:dataValidation>
        <x14:dataValidation type="list" allowBlank="1" showInputMessage="1" showErrorMessage="1">
          <x14:formula1>
            <xm:f>Referentiels!$G$23:$G$25</xm:f>
          </x14:formula1>
          <xm:sqref>C39 C45</xm:sqref>
        </x14:dataValidation>
        <x14:dataValidation type="list" allowBlank="1" showInputMessage="1" showErrorMessage="1">
          <x14:formula1>
            <xm:f>Referentiels!$H$23:$H$34</xm:f>
          </x14:formula1>
          <xm:sqref>D45 D39 K75:K79 K70 M77:N77</xm:sqref>
        </x14:dataValidation>
        <x14:dataValidation type="list" allowBlank="1" showInputMessage="1" showErrorMessage="1">
          <x14:formula1>
            <xm:f>Referentiels!$I$23:$I$25</xm:f>
          </x14:formula1>
          <xm:sqref>E45 E39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O107"/>
  <sheetViews>
    <sheetView topLeftCell="A30" workbookViewId="0">
      <selection activeCell="G30" sqref="A1:XFD1048576"/>
    </sheetView>
  </sheetViews>
  <sheetFormatPr baseColWidth="10" defaultRowHeight="15" customHeight="1" x14ac:dyDescent="0.25"/>
  <cols>
    <col min="1" max="1" width="13.7109375" customWidth="1"/>
    <col min="4" max="4" width="11.7109375" customWidth="1"/>
    <col min="8" max="8" width="11.5703125" customWidth="1"/>
    <col min="12" max="12" width="13.28515625" customWidth="1"/>
    <col min="14" max="14" width="15.28515625" customWidth="1"/>
  </cols>
  <sheetData>
    <row r="1" spans="1:15" ht="15" customHeight="1" x14ac:dyDescent="0.25">
      <c r="A1" t="s">
        <v>74</v>
      </c>
      <c r="C1" t="s">
        <v>83</v>
      </c>
      <c r="D1" t="s">
        <v>84</v>
      </c>
      <c r="E1" t="s">
        <v>41</v>
      </c>
      <c r="F1" t="s">
        <v>100</v>
      </c>
      <c r="G1" t="s">
        <v>101</v>
      </c>
      <c r="H1" t="s">
        <v>50</v>
      </c>
      <c r="I1" t="s">
        <v>102</v>
      </c>
      <c r="J1" t="s">
        <v>103</v>
      </c>
      <c r="K1" t="s">
        <v>13</v>
      </c>
      <c r="L1" t="s">
        <v>49</v>
      </c>
      <c r="M1" t="s">
        <v>121</v>
      </c>
      <c r="N1" t="s">
        <v>122</v>
      </c>
      <c r="O1" t="s">
        <v>123</v>
      </c>
    </row>
    <row r="2" spans="1:15" ht="15" customHeight="1" x14ac:dyDescent="0.25">
      <c r="A2" t="s">
        <v>61</v>
      </c>
      <c r="C2" t="s">
        <v>79</v>
      </c>
      <c r="E2" t="s">
        <v>85</v>
      </c>
      <c r="F2" t="s">
        <v>97</v>
      </c>
      <c r="H2" t="s">
        <v>75</v>
      </c>
      <c r="K2" t="s">
        <v>104</v>
      </c>
      <c r="L2" t="s">
        <v>124</v>
      </c>
      <c r="M2" t="s">
        <v>142</v>
      </c>
      <c r="N2" t="s">
        <v>143</v>
      </c>
    </row>
    <row r="3" spans="1:15" ht="15" customHeight="1" x14ac:dyDescent="0.25">
      <c r="A3" t="s">
        <v>62</v>
      </c>
      <c r="C3" t="s">
        <v>80</v>
      </c>
      <c r="E3" t="s">
        <v>86</v>
      </c>
      <c r="F3" t="s">
        <v>98</v>
      </c>
      <c r="H3" t="s">
        <v>76</v>
      </c>
      <c r="K3" t="s">
        <v>105</v>
      </c>
      <c r="L3" t="s">
        <v>125</v>
      </c>
      <c r="N3" t="s">
        <v>144</v>
      </c>
    </row>
    <row r="4" spans="1:15" ht="15" customHeight="1" x14ac:dyDescent="0.25">
      <c r="A4" t="s">
        <v>63</v>
      </c>
      <c r="C4" t="s">
        <v>81</v>
      </c>
      <c r="E4" t="s">
        <v>87</v>
      </c>
      <c r="F4" t="s">
        <v>99</v>
      </c>
      <c r="H4" t="s">
        <v>77</v>
      </c>
      <c r="K4" t="s">
        <v>106</v>
      </c>
      <c r="L4" t="s">
        <v>126</v>
      </c>
      <c r="N4" t="s">
        <v>145</v>
      </c>
    </row>
    <row r="5" spans="1:15" ht="15" customHeight="1" x14ac:dyDescent="0.25">
      <c r="A5" t="s">
        <v>64</v>
      </c>
      <c r="C5" t="s">
        <v>82</v>
      </c>
      <c r="E5" t="s">
        <v>88</v>
      </c>
      <c r="H5" t="s">
        <v>78</v>
      </c>
      <c r="K5" t="s">
        <v>107</v>
      </c>
      <c r="L5" t="s">
        <v>127</v>
      </c>
      <c r="N5" t="s">
        <v>146</v>
      </c>
    </row>
    <row r="6" spans="1:15" ht="15" customHeight="1" x14ac:dyDescent="0.25">
      <c r="A6" t="s">
        <v>65</v>
      </c>
      <c r="E6" t="s">
        <v>89</v>
      </c>
      <c r="K6" t="s">
        <v>108</v>
      </c>
      <c r="L6" t="s">
        <v>128</v>
      </c>
    </row>
    <row r="7" spans="1:15" ht="15" customHeight="1" x14ac:dyDescent="0.25">
      <c r="A7" t="s">
        <v>66</v>
      </c>
      <c r="E7" t="s">
        <v>90</v>
      </c>
      <c r="K7" t="s">
        <v>109</v>
      </c>
      <c r="L7" t="s">
        <v>129</v>
      </c>
    </row>
    <row r="8" spans="1:15" ht="15" customHeight="1" x14ac:dyDescent="0.25">
      <c r="A8" t="s">
        <v>67</v>
      </c>
      <c r="E8" t="s">
        <v>91</v>
      </c>
      <c r="K8" t="s">
        <v>110</v>
      </c>
      <c r="L8" t="s">
        <v>130</v>
      </c>
    </row>
    <row r="9" spans="1:15" ht="15" customHeight="1" x14ac:dyDescent="0.25">
      <c r="A9" t="s">
        <v>68</v>
      </c>
      <c r="E9" t="s">
        <v>92</v>
      </c>
      <c r="K9" t="s">
        <v>111</v>
      </c>
      <c r="L9" t="s">
        <v>131</v>
      </c>
    </row>
    <row r="10" spans="1:15" ht="15" customHeight="1" x14ac:dyDescent="0.25">
      <c r="A10" t="s">
        <v>69</v>
      </c>
      <c r="E10" t="s">
        <v>93</v>
      </c>
      <c r="K10" t="s">
        <v>112</v>
      </c>
      <c r="L10" t="s">
        <v>132</v>
      </c>
    </row>
    <row r="11" spans="1:15" ht="15" customHeight="1" x14ac:dyDescent="0.25">
      <c r="A11" t="s">
        <v>70</v>
      </c>
      <c r="E11" t="s">
        <v>94</v>
      </c>
      <c r="K11" t="s">
        <v>113</v>
      </c>
      <c r="L11" t="s">
        <v>133</v>
      </c>
    </row>
    <row r="12" spans="1:15" ht="15" customHeight="1" x14ac:dyDescent="0.25">
      <c r="A12" t="s">
        <v>71</v>
      </c>
      <c r="E12" t="s">
        <v>95</v>
      </c>
      <c r="K12" t="s">
        <v>114</v>
      </c>
      <c r="L12" t="s">
        <v>134</v>
      </c>
    </row>
    <row r="13" spans="1:15" ht="15" customHeight="1" x14ac:dyDescent="0.25">
      <c r="A13" t="s">
        <v>72</v>
      </c>
      <c r="E13" t="s">
        <v>96</v>
      </c>
      <c r="K13" t="s">
        <v>115</v>
      </c>
      <c r="L13" t="s">
        <v>135</v>
      </c>
    </row>
    <row r="14" spans="1:15" ht="15" customHeight="1" x14ac:dyDescent="0.25">
      <c r="A14" t="s">
        <v>73</v>
      </c>
      <c r="K14" t="s">
        <v>116</v>
      </c>
      <c r="L14" t="s">
        <v>136</v>
      </c>
    </row>
    <row r="15" spans="1:15" ht="15" customHeight="1" x14ac:dyDescent="0.25">
      <c r="K15" t="s">
        <v>117</v>
      </c>
      <c r="L15" t="s">
        <v>137</v>
      </c>
    </row>
    <row r="16" spans="1:15" ht="15" customHeight="1" x14ac:dyDescent="0.25">
      <c r="K16" t="s">
        <v>118</v>
      </c>
      <c r="L16" t="s">
        <v>138</v>
      </c>
    </row>
    <row r="17" spans="1:12" ht="15" customHeight="1" x14ac:dyDescent="0.25">
      <c r="K17" t="s">
        <v>119</v>
      </c>
      <c r="L17" t="s">
        <v>139</v>
      </c>
    </row>
    <row r="18" spans="1:12" ht="15" customHeight="1" x14ac:dyDescent="0.25">
      <c r="K18" t="s">
        <v>120</v>
      </c>
      <c r="L18" t="s">
        <v>140</v>
      </c>
    </row>
    <row r="19" spans="1:12" ht="15" customHeight="1" x14ac:dyDescent="0.25">
      <c r="L19" t="s">
        <v>141</v>
      </c>
    </row>
    <row r="22" spans="1:12" ht="15" customHeight="1" x14ac:dyDescent="0.25">
      <c r="A22" t="s">
        <v>147</v>
      </c>
      <c r="B22" t="s">
        <v>56</v>
      </c>
      <c r="C22" t="s">
        <v>238</v>
      </c>
      <c r="D22" t="s">
        <v>250</v>
      </c>
      <c r="E22" t="s">
        <v>268</v>
      </c>
      <c r="F22" t="s">
        <v>288</v>
      </c>
      <c r="G22" t="s">
        <v>289</v>
      </c>
      <c r="H22" t="s">
        <v>292</v>
      </c>
      <c r="I22" t="s">
        <v>294</v>
      </c>
      <c r="K22" t="s">
        <v>321</v>
      </c>
    </row>
    <row r="23" spans="1:12" ht="15" customHeight="1" x14ac:dyDescent="0.25">
      <c r="A23" t="s">
        <v>52</v>
      </c>
      <c r="B23" t="s">
        <v>153</v>
      </c>
      <c r="C23" t="s">
        <v>58</v>
      </c>
      <c r="D23" t="s">
        <v>24</v>
      </c>
      <c r="E23" t="s">
        <v>269</v>
      </c>
      <c r="F23" t="s">
        <v>24</v>
      </c>
      <c r="K23">
        <v>20</v>
      </c>
    </row>
    <row r="24" spans="1:12" ht="15" customHeight="1" x14ac:dyDescent="0.25">
      <c r="A24" t="s">
        <v>148</v>
      </c>
      <c r="B24" t="s">
        <v>154</v>
      </c>
      <c r="C24" t="s">
        <v>239</v>
      </c>
      <c r="D24" t="s">
        <v>47</v>
      </c>
      <c r="E24" t="s">
        <v>270</v>
      </c>
      <c r="F24" t="s">
        <v>34</v>
      </c>
      <c r="G24" t="s">
        <v>290</v>
      </c>
      <c r="H24" t="s">
        <v>248</v>
      </c>
      <c r="I24" t="s">
        <v>247</v>
      </c>
      <c r="K24">
        <v>50</v>
      </c>
    </row>
    <row r="25" spans="1:12" ht="15" customHeight="1" x14ac:dyDescent="0.25">
      <c r="A25" t="s">
        <v>149</v>
      </c>
      <c r="B25" t="s">
        <v>155</v>
      </c>
      <c r="C25" t="s">
        <v>240</v>
      </c>
      <c r="E25" t="s">
        <v>271</v>
      </c>
      <c r="G25" t="s">
        <v>291</v>
      </c>
      <c r="H25" t="s">
        <v>403</v>
      </c>
      <c r="I25" t="s">
        <v>295</v>
      </c>
      <c r="K25">
        <v>100</v>
      </c>
    </row>
    <row r="26" spans="1:12" ht="15" customHeight="1" x14ac:dyDescent="0.25">
      <c r="A26" t="s">
        <v>150</v>
      </c>
      <c r="B26" t="s">
        <v>156</v>
      </c>
      <c r="C26" t="s">
        <v>241</v>
      </c>
      <c r="E26" t="s">
        <v>272</v>
      </c>
      <c r="H26" t="s">
        <v>245</v>
      </c>
    </row>
    <row r="27" spans="1:12" ht="15" customHeight="1" x14ac:dyDescent="0.25">
      <c r="A27" t="s">
        <v>151</v>
      </c>
      <c r="B27" t="s">
        <v>157</v>
      </c>
      <c r="C27" t="s">
        <v>242</v>
      </c>
      <c r="E27" t="s">
        <v>273</v>
      </c>
      <c r="H27" t="s">
        <v>404</v>
      </c>
    </row>
    <row r="28" spans="1:12" ht="15" customHeight="1" x14ac:dyDescent="0.25">
      <c r="A28" t="s">
        <v>152</v>
      </c>
      <c r="B28" t="s">
        <v>158</v>
      </c>
      <c r="C28" t="s">
        <v>243</v>
      </c>
      <c r="E28" t="s">
        <v>274</v>
      </c>
      <c r="H28" t="s">
        <v>366</v>
      </c>
    </row>
    <row r="29" spans="1:12" ht="15" customHeight="1" x14ac:dyDescent="0.25">
      <c r="B29" t="s">
        <v>159</v>
      </c>
      <c r="C29" t="s">
        <v>244</v>
      </c>
      <c r="E29" t="s">
        <v>275</v>
      </c>
      <c r="H29" t="s">
        <v>405</v>
      </c>
    </row>
    <row r="30" spans="1:12" ht="15" customHeight="1" x14ac:dyDescent="0.25">
      <c r="B30" t="s">
        <v>160</v>
      </c>
      <c r="E30" t="s">
        <v>276</v>
      </c>
      <c r="H30" t="s">
        <v>406</v>
      </c>
    </row>
    <row r="31" spans="1:12" ht="15" customHeight="1" x14ac:dyDescent="0.25">
      <c r="B31" t="s">
        <v>161</v>
      </c>
      <c r="E31" t="s">
        <v>277</v>
      </c>
      <c r="H31" t="s">
        <v>407</v>
      </c>
    </row>
    <row r="32" spans="1:12" ht="15" customHeight="1" x14ac:dyDescent="0.25">
      <c r="B32" t="s">
        <v>162</v>
      </c>
      <c r="E32" t="s">
        <v>278</v>
      </c>
      <c r="H32" t="s">
        <v>293</v>
      </c>
    </row>
    <row r="33" spans="2:5" ht="15" customHeight="1" x14ac:dyDescent="0.25">
      <c r="B33" t="s">
        <v>163</v>
      </c>
      <c r="E33" t="s">
        <v>279</v>
      </c>
    </row>
    <row r="34" spans="2:5" ht="15" customHeight="1" x14ac:dyDescent="0.25">
      <c r="B34" t="s">
        <v>164</v>
      </c>
      <c r="E34" t="s">
        <v>280</v>
      </c>
    </row>
    <row r="35" spans="2:5" ht="15" customHeight="1" x14ac:dyDescent="0.25">
      <c r="B35" t="s">
        <v>165</v>
      </c>
      <c r="E35" t="s">
        <v>281</v>
      </c>
    </row>
    <row r="36" spans="2:5" ht="15" customHeight="1" x14ac:dyDescent="0.25">
      <c r="B36" t="s">
        <v>166</v>
      </c>
      <c r="E36" t="s">
        <v>282</v>
      </c>
    </row>
    <row r="37" spans="2:5" ht="15" customHeight="1" x14ac:dyDescent="0.25">
      <c r="B37" t="s">
        <v>167</v>
      </c>
      <c r="E37" t="s">
        <v>283</v>
      </c>
    </row>
    <row r="38" spans="2:5" ht="15" customHeight="1" x14ac:dyDescent="0.25">
      <c r="B38" t="s">
        <v>168</v>
      </c>
      <c r="E38" t="s">
        <v>284</v>
      </c>
    </row>
    <row r="39" spans="2:5" ht="15" customHeight="1" x14ac:dyDescent="0.25">
      <c r="B39" t="s">
        <v>169</v>
      </c>
      <c r="E39" t="s">
        <v>285</v>
      </c>
    </row>
    <row r="40" spans="2:5" ht="15" customHeight="1" x14ac:dyDescent="0.25">
      <c r="B40" t="s">
        <v>170</v>
      </c>
      <c r="E40" t="s">
        <v>286</v>
      </c>
    </row>
    <row r="41" spans="2:5" ht="15" customHeight="1" x14ac:dyDescent="0.25">
      <c r="B41" t="s">
        <v>171</v>
      </c>
    </row>
    <row r="42" spans="2:5" ht="15" customHeight="1" x14ac:dyDescent="0.25">
      <c r="B42" t="s">
        <v>172</v>
      </c>
    </row>
    <row r="43" spans="2:5" ht="15" customHeight="1" x14ac:dyDescent="0.25">
      <c r="B43" t="s">
        <v>173</v>
      </c>
    </row>
    <row r="44" spans="2:5" ht="15" customHeight="1" x14ac:dyDescent="0.25">
      <c r="B44" t="s">
        <v>174</v>
      </c>
    </row>
    <row r="45" spans="2:5" ht="15" customHeight="1" x14ac:dyDescent="0.25">
      <c r="B45" t="s">
        <v>175</v>
      </c>
    </row>
    <row r="46" spans="2:5" ht="15" customHeight="1" x14ac:dyDescent="0.25">
      <c r="B46" t="s">
        <v>176</v>
      </c>
    </row>
    <row r="47" spans="2:5" ht="15" customHeight="1" x14ac:dyDescent="0.25">
      <c r="B47" t="s">
        <v>177</v>
      </c>
    </row>
    <row r="48" spans="2:5" ht="15" customHeight="1" x14ac:dyDescent="0.25">
      <c r="B48" t="s">
        <v>178</v>
      </c>
    </row>
    <row r="49" spans="2:2" ht="15" customHeight="1" x14ac:dyDescent="0.25">
      <c r="B49" t="s">
        <v>179</v>
      </c>
    </row>
    <row r="50" spans="2:2" ht="15" customHeight="1" x14ac:dyDescent="0.25">
      <c r="B50" t="s">
        <v>180</v>
      </c>
    </row>
    <row r="51" spans="2:2" ht="15" customHeight="1" x14ac:dyDescent="0.25">
      <c r="B51" t="s">
        <v>181</v>
      </c>
    </row>
    <row r="52" spans="2:2" ht="15" customHeight="1" x14ac:dyDescent="0.25">
      <c r="B52" t="s">
        <v>182</v>
      </c>
    </row>
    <row r="53" spans="2:2" ht="15" customHeight="1" x14ac:dyDescent="0.25">
      <c r="B53" t="s">
        <v>183</v>
      </c>
    </row>
    <row r="54" spans="2:2" ht="15" customHeight="1" x14ac:dyDescent="0.25">
      <c r="B54" t="s">
        <v>184</v>
      </c>
    </row>
    <row r="55" spans="2:2" ht="15" customHeight="1" x14ac:dyDescent="0.25">
      <c r="B55" t="s">
        <v>185</v>
      </c>
    </row>
    <row r="56" spans="2:2" ht="15" customHeight="1" x14ac:dyDescent="0.25">
      <c r="B56" t="s">
        <v>186</v>
      </c>
    </row>
    <row r="57" spans="2:2" ht="15" customHeight="1" x14ac:dyDescent="0.25">
      <c r="B57" t="s">
        <v>187</v>
      </c>
    </row>
    <row r="58" spans="2:2" ht="15" customHeight="1" x14ac:dyDescent="0.25">
      <c r="B58" t="s">
        <v>188</v>
      </c>
    </row>
    <row r="59" spans="2:2" ht="15" customHeight="1" x14ac:dyDescent="0.25">
      <c r="B59" t="s">
        <v>189</v>
      </c>
    </row>
    <row r="60" spans="2:2" ht="15" customHeight="1" x14ac:dyDescent="0.25">
      <c r="B60" t="s">
        <v>190</v>
      </c>
    </row>
    <row r="61" spans="2:2" ht="15" customHeight="1" x14ac:dyDescent="0.25">
      <c r="B61" t="s">
        <v>191</v>
      </c>
    </row>
    <row r="62" spans="2:2" ht="15" customHeight="1" x14ac:dyDescent="0.25">
      <c r="B62" t="s">
        <v>192</v>
      </c>
    </row>
    <row r="63" spans="2:2" ht="15" customHeight="1" x14ac:dyDescent="0.25">
      <c r="B63" t="s">
        <v>193</v>
      </c>
    </row>
    <row r="64" spans="2:2" ht="15" customHeight="1" x14ac:dyDescent="0.25">
      <c r="B64" t="s">
        <v>194</v>
      </c>
    </row>
    <row r="65" spans="2:2" ht="15" customHeight="1" x14ac:dyDescent="0.25">
      <c r="B65" t="s">
        <v>195</v>
      </c>
    </row>
    <row r="66" spans="2:2" ht="15" customHeight="1" x14ac:dyDescent="0.25">
      <c r="B66" t="s">
        <v>196</v>
      </c>
    </row>
    <row r="67" spans="2:2" ht="15" customHeight="1" x14ac:dyDescent="0.25">
      <c r="B67" t="s">
        <v>197</v>
      </c>
    </row>
    <row r="68" spans="2:2" ht="15" customHeight="1" x14ac:dyDescent="0.25">
      <c r="B68" t="s">
        <v>198</v>
      </c>
    </row>
    <row r="69" spans="2:2" ht="15" customHeight="1" x14ac:dyDescent="0.25">
      <c r="B69" t="s">
        <v>199</v>
      </c>
    </row>
    <row r="70" spans="2:2" ht="15" customHeight="1" x14ac:dyDescent="0.25">
      <c r="B70" t="s">
        <v>200</v>
      </c>
    </row>
    <row r="71" spans="2:2" ht="15" customHeight="1" x14ac:dyDescent="0.25">
      <c r="B71" t="s">
        <v>201</v>
      </c>
    </row>
    <row r="72" spans="2:2" ht="15" customHeight="1" x14ac:dyDescent="0.25">
      <c r="B72" t="s">
        <v>202</v>
      </c>
    </row>
    <row r="73" spans="2:2" ht="15" customHeight="1" x14ac:dyDescent="0.25">
      <c r="B73" t="s">
        <v>203</v>
      </c>
    </row>
    <row r="74" spans="2:2" ht="15" customHeight="1" x14ac:dyDescent="0.25">
      <c r="B74" t="s">
        <v>204</v>
      </c>
    </row>
    <row r="75" spans="2:2" ht="15" customHeight="1" x14ac:dyDescent="0.25">
      <c r="B75" t="s">
        <v>205</v>
      </c>
    </row>
    <row r="76" spans="2:2" ht="15" customHeight="1" x14ac:dyDescent="0.25">
      <c r="B76" t="s">
        <v>206</v>
      </c>
    </row>
    <row r="77" spans="2:2" ht="15" customHeight="1" x14ac:dyDescent="0.25">
      <c r="B77" t="s">
        <v>207</v>
      </c>
    </row>
    <row r="78" spans="2:2" ht="15" customHeight="1" x14ac:dyDescent="0.25">
      <c r="B78" t="s">
        <v>208</v>
      </c>
    </row>
    <row r="79" spans="2:2" ht="15" customHeight="1" x14ac:dyDescent="0.25">
      <c r="B79" t="s">
        <v>209</v>
      </c>
    </row>
    <row r="80" spans="2:2" ht="15" customHeight="1" x14ac:dyDescent="0.25">
      <c r="B80" t="s">
        <v>210</v>
      </c>
    </row>
    <row r="81" spans="2:2" ht="15" customHeight="1" x14ac:dyDescent="0.25">
      <c r="B81" t="s">
        <v>211</v>
      </c>
    </row>
    <row r="82" spans="2:2" ht="15" customHeight="1" x14ac:dyDescent="0.25">
      <c r="B82" t="s">
        <v>212</v>
      </c>
    </row>
    <row r="83" spans="2:2" ht="15" customHeight="1" x14ac:dyDescent="0.25">
      <c r="B83" t="s">
        <v>213</v>
      </c>
    </row>
    <row r="84" spans="2:2" ht="15" customHeight="1" x14ac:dyDescent="0.25">
      <c r="B84" t="s">
        <v>214</v>
      </c>
    </row>
    <row r="85" spans="2:2" ht="15" customHeight="1" x14ac:dyDescent="0.25">
      <c r="B85" t="s">
        <v>215</v>
      </c>
    </row>
    <row r="86" spans="2:2" ht="15" customHeight="1" x14ac:dyDescent="0.25">
      <c r="B86" t="s">
        <v>216</v>
      </c>
    </row>
    <row r="87" spans="2:2" ht="15" customHeight="1" x14ac:dyDescent="0.25">
      <c r="B87" t="s">
        <v>217</v>
      </c>
    </row>
    <row r="88" spans="2:2" ht="15" customHeight="1" x14ac:dyDescent="0.25">
      <c r="B88" t="s">
        <v>218</v>
      </c>
    </row>
    <row r="89" spans="2:2" ht="15" customHeight="1" x14ac:dyDescent="0.25">
      <c r="B89" t="s">
        <v>219</v>
      </c>
    </row>
    <row r="90" spans="2:2" ht="15" customHeight="1" x14ac:dyDescent="0.25">
      <c r="B90" t="s">
        <v>220</v>
      </c>
    </row>
    <row r="91" spans="2:2" ht="15" customHeight="1" x14ac:dyDescent="0.25">
      <c r="B91" t="s">
        <v>221</v>
      </c>
    </row>
    <row r="92" spans="2:2" ht="15" customHeight="1" x14ac:dyDescent="0.25">
      <c r="B92" t="s">
        <v>222</v>
      </c>
    </row>
    <row r="93" spans="2:2" ht="15" customHeight="1" x14ac:dyDescent="0.25">
      <c r="B93" t="s">
        <v>223</v>
      </c>
    </row>
    <row r="94" spans="2:2" ht="15" customHeight="1" x14ac:dyDescent="0.25">
      <c r="B94" t="s">
        <v>224</v>
      </c>
    </row>
    <row r="95" spans="2:2" ht="15" customHeight="1" x14ac:dyDescent="0.25">
      <c r="B95" t="s">
        <v>225</v>
      </c>
    </row>
    <row r="96" spans="2:2" ht="15" customHeight="1" x14ac:dyDescent="0.25">
      <c r="B96" t="s">
        <v>226</v>
      </c>
    </row>
    <row r="97" spans="2:2" ht="15" customHeight="1" x14ac:dyDescent="0.25">
      <c r="B97" t="s">
        <v>227</v>
      </c>
    </row>
    <row r="98" spans="2:2" ht="15" customHeight="1" x14ac:dyDescent="0.25">
      <c r="B98" t="s">
        <v>228</v>
      </c>
    </row>
    <row r="99" spans="2:2" ht="15" customHeight="1" x14ac:dyDescent="0.25">
      <c r="B99" t="s">
        <v>229</v>
      </c>
    </row>
    <row r="100" spans="2:2" ht="15" customHeight="1" x14ac:dyDescent="0.25">
      <c r="B100" t="s">
        <v>230</v>
      </c>
    </row>
    <row r="101" spans="2:2" ht="15" customHeight="1" x14ac:dyDescent="0.25">
      <c r="B101" t="s">
        <v>231</v>
      </c>
    </row>
    <row r="102" spans="2:2" ht="15" customHeight="1" x14ac:dyDescent="0.25">
      <c r="B102" t="s">
        <v>232</v>
      </c>
    </row>
    <row r="103" spans="2:2" ht="15" customHeight="1" x14ac:dyDescent="0.25">
      <c r="B103" t="s">
        <v>233</v>
      </c>
    </row>
    <row r="104" spans="2:2" ht="15" customHeight="1" x14ac:dyDescent="0.25">
      <c r="B104" t="s">
        <v>234</v>
      </c>
    </row>
    <row r="105" spans="2:2" ht="15" customHeight="1" x14ac:dyDescent="0.25">
      <c r="B105" t="s">
        <v>235</v>
      </c>
    </row>
    <row r="106" spans="2:2" ht="15" customHeight="1" x14ac:dyDescent="0.25">
      <c r="B106" t="s">
        <v>236</v>
      </c>
    </row>
    <row r="107" spans="2:2" ht="15" customHeight="1" x14ac:dyDescent="0.25">
      <c r="B107" t="s">
        <v>237</v>
      </c>
    </row>
  </sheetData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13</vt:i4>
      </vt:variant>
    </vt:vector>
  </HeadingPairs>
  <TitlesOfParts>
    <vt:vector size="15" baseType="lpstr">
      <vt:lpstr>Informations Contrats</vt:lpstr>
      <vt:lpstr>Referentiels</vt:lpstr>
      <vt:lpstr>AP</vt:lpstr>
      <vt:lpstr>CO</vt:lpstr>
      <vt:lpstr>IA</vt:lpstr>
      <vt:lpstr>IN</vt:lpstr>
      <vt:lpstr>LO</vt:lpstr>
      <vt:lpstr>MR</vt:lpstr>
      <vt:lpstr>PJ</vt:lpstr>
      <vt:lpstr>PP</vt:lpstr>
      <vt:lpstr>RC_</vt:lpstr>
      <vt:lpstr>RS</vt:lpstr>
      <vt:lpstr>RT</vt:lpstr>
      <vt:lpstr>TR</vt:lpstr>
      <vt:lpstr>ZZ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Erwan COULM</dc:creator>
  <cp:lastModifiedBy>Jean-Luc WENG</cp:lastModifiedBy>
  <dcterms:created xsi:type="dcterms:W3CDTF">2019-06-03T12:17:08Z</dcterms:created>
  <dcterms:modified xsi:type="dcterms:W3CDTF">2020-03-13T16:01:30Z</dcterms:modified>
</cp:coreProperties>
</file>