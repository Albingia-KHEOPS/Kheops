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ts\Kheops\Support\Kheops\Albingia\ALBINGIA.OP.OP_MVC\ExcelWeb\ExcelTemplates\"/>
    </mc:Choice>
  </mc:AlternateContent>
  <bookViews>
    <workbookView xWindow="0" yWindow="0" windowWidth="24000" windowHeight="9885"/>
  </bookViews>
  <sheets>
    <sheet name="Informations Contrats" sheetId="4" r:id="rId1"/>
    <sheet name="Referentiels" sheetId="5" state="hidden" r:id="rId2"/>
  </sheets>
  <externalReferences>
    <externalReference r:id="rId3"/>
  </externalReferences>
  <definedNames>
    <definedName name="AP">Referentiels!$C$2:$C$19</definedName>
    <definedName name="CO">Referentiels!$D$2:$D$19</definedName>
    <definedName name="IA">Referentiels!$E$2:$E$19</definedName>
    <definedName name="IN">Referentiels!$F$2:$F$19</definedName>
    <definedName name="LO">Referentiels!$G$2:$G$19</definedName>
    <definedName name="MR">Referentiels!$H$2:$H$19</definedName>
    <definedName name="PJ">Referentiels!$I$2:$I$19</definedName>
    <definedName name="PP">Referentiels!$J$2:$J$19</definedName>
    <definedName name="RC_">Referentiels!$K$2:$K$19</definedName>
    <definedName name="RS">Referentiels!$L$2:$L$19</definedName>
    <definedName name="RT">Referentiels!$M$2:$M$19</definedName>
    <definedName name="TR">Referentiels!$N$2:$N$19</definedName>
    <definedName name="ZZ">Referentiels!$O$2:$O$19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4" l="1"/>
  <c r="D30" i="4"/>
  <c r="P4" i="4" l="1"/>
  <c r="P3" i="4" l="1"/>
  <c r="P7" i="4" l="1"/>
  <c r="B14" i="4"/>
  <c r="P5" i="4"/>
  <c r="O85" i="4"/>
  <c r="O86" i="4"/>
  <c r="O87" i="4"/>
  <c r="O88" i="4"/>
  <c r="O89" i="4"/>
  <c r="O90" i="4"/>
  <c r="O97" i="4" l="1"/>
  <c r="O96" i="4"/>
  <c r="O199" i="4" l="1"/>
  <c r="O198" i="4"/>
  <c r="O181" i="4"/>
  <c r="O173" i="4" l="1"/>
  <c r="O171" i="4"/>
  <c r="O169" i="4"/>
  <c r="O168" i="4"/>
  <c r="O167" i="4"/>
  <c r="O166" i="4"/>
  <c r="O164" i="4"/>
  <c r="O163" i="4"/>
  <c r="O162" i="4"/>
  <c r="O160" i="4"/>
  <c r="O159" i="4"/>
  <c r="O158" i="4"/>
  <c r="O157" i="4"/>
  <c r="O156" i="4"/>
  <c r="O155" i="4"/>
  <c r="O197" i="4" l="1"/>
  <c r="O180" i="4"/>
  <c r="O172" i="4"/>
  <c r="O170" i="4"/>
  <c r="O165" i="4"/>
  <c r="O161" i="4"/>
  <c r="O154" i="4"/>
  <c r="O201" i="4"/>
  <c r="O200" i="4"/>
  <c r="O187" i="4"/>
  <c r="O188" i="4"/>
  <c r="O189" i="4"/>
  <c r="O190" i="4"/>
  <c r="O191" i="4"/>
  <c r="O192" i="4"/>
  <c r="O193" i="4"/>
  <c r="O194" i="4"/>
  <c r="O195" i="4"/>
  <c r="O196" i="4"/>
  <c r="O186" i="4"/>
  <c r="O183" i="4"/>
  <c r="O184" i="4"/>
  <c r="O185" i="4"/>
  <c r="O182" i="4"/>
  <c r="O175" i="4"/>
  <c r="O176" i="4"/>
  <c r="O177" i="4"/>
  <c r="O178" i="4"/>
  <c r="O179" i="4"/>
  <c r="O174" i="4"/>
  <c r="O153" i="4"/>
  <c r="O147" i="4"/>
  <c r="O148" i="4"/>
  <c r="O149" i="4"/>
  <c r="O150" i="4"/>
  <c r="O151" i="4"/>
  <c r="O152" i="4"/>
  <c r="O144" i="4"/>
  <c r="O145" i="4"/>
  <c r="O146" i="4"/>
  <c r="O143" i="4"/>
  <c r="O93" i="4"/>
  <c r="O94" i="4"/>
  <c r="O95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92" i="4"/>
  <c r="O91" i="4"/>
  <c r="O84" i="4"/>
  <c r="O83" i="4"/>
  <c r="O76" i="4"/>
  <c r="O52" i="4"/>
  <c r="O58" i="4"/>
  <c r="O64" i="4"/>
  <c r="O70" i="4"/>
  <c r="O46" i="4"/>
  <c r="O40" i="4"/>
  <c r="O34" i="4"/>
  <c r="F203" i="4" s="1"/>
  <c r="J203" i="4" l="1"/>
  <c r="L203" i="4"/>
  <c r="N203" i="4"/>
  <c r="H203" i="4"/>
  <c r="F9" i="4" s="1"/>
  <c r="E206" i="4" l="1"/>
  <c r="F8" i="4" l="1"/>
  <c r="E205" i="4" l="1"/>
</calcChain>
</file>

<file path=xl/comments1.xml><?xml version="1.0" encoding="utf-8"?>
<comments xmlns="http://schemas.openxmlformats.org/spreadsheetml/2006/main">
  <authors>
    <author>Erwan COULM</author>
  </authors>
  <commentList>
    <comment ref="B83" authorId="0" shapeId="0">
      <text>
        <r>
          <rPr>
            <sz val="9"/>
            <color indexed="81"/>
            <rFont val="Tahoma"/>
            <family val="2"/>
          </rPr>
          <t>TARIFPORT - Tarification portées</t>
        </r>
      </text>
    </comment>
    <comment ref="B84" authorId="0" shapeId="0">
      <text>
        <r>
          <rPr>
            <sz val="9"/>
            <color indexed="81"/>
            <rFont val="Tahoma"/>
            <family val="2"/>
          </rPr>
          <t>TAMR - Tarification Multirisque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TAINBA - Tarif Incendie Bâtiments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TAINCO - Tarif Incendie Contenu Professionnel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TAINHA - Tarif Incendie Contenu Habitation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TAINPE - Pertes d'Exploitation Incendie (Bâtiments)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TAINVV - Tarif Valeur vénale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TARCPI - Tarif RC propriétaire immeubles</t>
        </r>
      </text>
    </comment>
    <comment ref="B91" authorId="0" shapeId="0">
      <text>
        <r>
          <rPr>
            <sz val="9"/>
            <color indexed="81"/>
            <rFont val="Tahoma"/>
            <family val="2"/>
          </rPr>
          <t>DABRD - Dommages aux biens risques directs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IRA - Garantie Incendie et Risques annexes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INEXFO - Incendie, explosion, foudre</t>
        </r>
      </text>
    </comment>
    <comment ref="H93" authorId="0" shapeId="0">
      <text>
        <r>
          <rPr>
            <sz val="9"/>
            <color indexed="81"/>
            <rFont val="Tahoma"/>
            <family val="2"/>
          </rPr>
          <t xml:space="preserve">DAB - 2k€/m² et selon valeurs risque                        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INHIS - Monument Historique</t>
        </r>
      </text>
    </comment>
    <comment ref="H94" authorId="0" shapeId="0">
      <text>
        <r>
          <rPr>
            <sz val="9"/>
            <color indexed="81"/>
            <rFont val="Tahoma"/>
            <family val="2"/>
          </rPr>
          <t xml:space="preserve">DAB - 4k€/m², max XXX€
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INCONF - Biens confiés à des tiers</t>
        </r>
      </text>
    </comment>
    <comment ref="H95" authorId="0" shapeId="0">
      <text>
        <r>
          <rPr>
            <sz val="9"/>
            <color indexed="81"/>
            <rFont val="Tahoma"/>
            <family val="2"/>
          </rPr>
          <t>DAB - 5% val contenu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INEQ - Equidés appartenant à l'Assuré</t>
        </r>
      </text>
    </comment>
    <comment ref="H96" authorId="0" shapeId="0">
      <text>
        <r>
          <rPr>
            <sz val="9"/>
            <color indexed="81"/>
            <rFont val="Tahoma"/>
            <family val="2"/>
          </rPr>
          <t>DAB - plafond Equidé
à concurrence de la valeur fixée au chapitre "risques assurés" pour les équidés de l’assuré</t>
        </r>
      </text>
    </comment>
    <comment ref="B97" authorId="0" shapeId="0">
      <text>
        <r>
          <rPr>
            <sz val="9"/>
            <color indexed="81"/>
            <rFont val="Tahoma"/>
            <family val="2"/>
          </rPr>
          <t>INEQCO - Equidés confiés par des tiers</t>
        </r>
      </text>
    </comment>
    <comment ref="H97" authorId="0" shapeId="0">
      <text>
        <r>
          <rPr>
            <sz val="9"/>
            <color indexed="81"/>
            <rFont val="Tahoma"/>
            <family val="2"/>
          </rPr>
          <t xml:space="preserve">DAB - plafond Equidé confiés
à concurrence de la valeur fixée au chapitre "risques assurés" pour les équidés confiés 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INCLO - Clôtures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INOBJ - Objets de valeur</t>
        </r>
      </text>
    </comment>
    <comment ref="H99" authorId="0" shapeId="0">
      <text>
        <r>
          <rPr>
            <sz val="9"/>
            <color indexed="81"/>
            <rFont val="Tahoma"/>
            <family val="2"/>
          </rPr>
          <t>DAB - 30% de valeur mobilier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EMEUT - Emeutes, mouvements populaires</t>
        </r>
      </text>
    </comment>
    <comment ref="H100" authorId="0" shapeId="0">
      <text>
        <r>
          <rPr>
            <sz val="9"/>
            <color indexed="81"/>
            <rFont val="Tahoma"/>
            <family val="2"/>
          </rPr>
          <t>DAB - plafond incendie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TGN - Tempêtes, grêle et neige sur les toitures</t>
        </r>
      </text>
    </comment>
    <comment ref="H101" authorId="0" shapeId="0">
      <text>
        <r>
          <rPr>
            <sz val="9"/>
            <color indexed="81"/>
            <rFont val="Tahoma"/>
            <family val="2"/>
          </rPr>
          <t>DAB - plafond incendie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CHVT - Choc de véhicule terrestre à moteur</t>
        </r>
      </text>
    </comment>
    <comment ref="H102" authorId="0" shapeId="0">
      <text>
        <r>
          <rPr>
            <sz val="9"/>
            <color indexed="81"/>
            <rFont val="Tahoma"/>
            <family val="2"/>
          </rPr>
          <t>DAB - Choc Véhicule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RSELEC - Dommages électriques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DDEGEL - Dégâts des eaux et gel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DDEBAT - Bâtiments</t>
        </r>
      </text>
    </comment>
    <comment ref="H105" authorId="0" shapeId="0">
      <text>
        <r>
          <rPr>
            <sz val="9"/>
            <color indexed="81"/>
            <rFont val="Tahoma"/>
            <family val="2"/>
          </rPr>
          <t>DAB - Val reconstruction à neuf</t>
        </r>
      </text>
    </comment>
    <comment ref="B106" authorId="0" shapeId="0">
      <text>
        <r>
          <rPr>
            <sz val="9"/>
            <color indexed="81"/>
            <rFont val="Tahoma"/>
            <family val="2"/>
          </rPr>
          <t>DDECON - Contenu Professionnel (mobilier, matériel et marchandises)</t>
        </r>
      </text>
    </comment>
    <comment ref="H106" authorId="0" shapeId="0">
      <text>
        <r>
          <rPr>
            <sz val="9"/>
            <color indexed="81"/>
            <rFont val="Tahoma"/>
            <family val="2"/>
          </rPr>
          <t>DAB - 20% val contenu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DDEHAB - Contenu Habitation (mobilier, matériel)</t>
        </r>
      </text>
    </comment>
    <comment ref="H107" authorId="0" shapeId="0">
      <text>
        <r>
          <rPr>
            <sz val="9"/>
            <color indexed="81"/>
            <rFont val="Tahoma"/>
            <family val="2"/>
          </rPr>
          <t>DAB - 20% val contenu</t>
        </r>
      </text>
    </comment>
    <comment ref="B108" authorId="0" shapeId="0">
      <text>
        <r>
          <rPr>
            <sz val="9"/>
            <color indexed="81"/>
            <rFont val="Tahoma"/>
            <family val="2"/>
          </rPr>
          <t>FPDDE - Frais et pertes consécutifs</t>
        </r>
      </text>
    </comment>
    <comment ref="B109" authorId="0" shapeId="0">
      <text>
        <r>
          <rPr>
            <sz val="9"/>
            <color indexed="81"/>
            <rFont val="Tahoma"/>
            <family val="2"/>
          </rPr>
          <t>GELCON - Conduites suite à gel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REFEGO - Refoulement des égouts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EPAMAZ - Epanchement de mazout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FREFUI - Frais de recherche de fuites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FRRETA - Frais de remise en état des biens immobiliers suite à recherche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RCINC - Responsabilité Incendie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ASSPRO - Assuré propriétaire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RECLOC - Recours des locataires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TRJOUP - Responsabilité trouble de jouissance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ASSLOC - Assuré locataire</t>
        </r>
      </text>
    </comment>
    <comment ref="B119" authorId="0" shapeId="0">
      <text>
        <r>
          <rPr>
            <sz val="9"/>
            <color indexed="81"/>
            <rFont val="Tahoma"/>
            <family val="2"/>
          </rPr>
          <t>RSQLOC - Risques locatifs</t>
        </r>
      </text>
    </comment>
    <comment ref="H119" authorId="0" shapeId="0">
      <text>
        <r>
          <rPr>
            <sz val="9"/>
            <color indexed="81"/>
            <rFont val="Tahoma"/>
            <family val="2"/>
          </rPr>
          <t>DAB - selon responsabilité vis à vis proprio</t>
        </r>
      </text>
    </comment>
    <comment ref="B120" authorId="0" shapeId="0">
      <text>
        <r>
          <rPr>
            <sz val="9"/>
            <color indexed="81"/>
            <rFont val="Tahoma"/>
            <family val="2"/>
          </rPr>
          <t>TRJOUL - Responsabilité trouble de jouissance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PRTLOY - Responsabilité Perte de loyers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RCDD - Responsabilité du détenteur ou dépositaire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RECVT - Recours des voisins et tiers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DMIC - Dommages matériels et immatériels consécutifs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DIC - Dommages immatériels consécutifs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FPINC - Frais et pertes consécutifs (incendie et  risques annexes)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ASSPRO - Assuré propriétaire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PERUSA - Perte d'usage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PDL - Perte des loyers</t>
        </r>
      </text>
    </comment>
    <comment ref="B130" authorId="0" shapeId="0">
      <text>
        <r>
          <rPr>
            <sz val="9"/>
            <color indexed="81"/>
            <rFont val="Tahoma"/>
            <family val="2"/>
          </rPr>
          <t>FMC - Frais de mise en conformité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RECODO - Remboursement cotisation Dommages Ouvrage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TAXIMP - Taxes et Impôts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ASSLOC - Assuré locataire</t>
        </r>
      </text>
    </comment>
    <comment ref="B134" authorId="0" shapeId="0">
      <text>
        <r>
          <rPr>
            <sz val="9"/>
            <color indexed="81"/>
            <rFont val="Tahoma"/>
            <family val="2"/>
          </rPr>
          <t>PERFI - Perte financière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DTLC - Dans tous les cas :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FDR - Frais de déplacement et de relogement</t>
        </r>
      </text>
    </comment>
    <comment ref="B137" authorId="0" shapeId="0">
      <text>
        <r>
          <rPr>
            <sz val="9"/>
            <color indexed="81"/>
            <rFont val="Tahoma"/>
            <family val="2"/>
          </rPr>
          <t>FDD - Frais de démolition et de déblais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HDBECT - Honoraires décorateurs, bureaux: d'étude, contrôle technique, ingénierie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INTEPT - Intérêts d'emprunt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DOMSEC - Dommages matériels occasionnés par les secours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FRA - Frais de reconstitution d'archives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PIFOR - Pertes indirectes forfaitaires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VOL - Garantie Vol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VOLMMM - Vol mobilier, matériel, marchandises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VOLHAB - Vol mobilier d'habitation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VOLSEL - Vol de sellerie</t>
        </r>
      </text>
    </comment>
    <comment ref="H146" authorId="0" shapeId="0">
      <text>
        <r>
          <rPr>
            <sz val="9"/>
            <color indexed="81"/>
            <rFont val="Tahoma"/>
            <family val="2"/>
          </rPr>
          <t>DAB - plafond selle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VOLEXT - Vol sans effraction de biens à l'extérieur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VOLEQ - Vol des équidés</t>
        </r>
      </text>
    </comment>
    <comment ref="H148" authorId="0" shapeId="0">
      <text>
        <r>
          <rPr>
            <sz val="9"/>
            <color indexed="81"/>
            <rFont val="Tahoma"/>
            <family val="2"/>
          </rPr>
          <t>DAB - maxi 30k€*Année-10k€/Equidé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VOLTC - Vol en tiroir caisse, meubles fermés à clé</t>
        </r>
      </text>
    </comment>
    <comment ref="B150" authorId="0" shapeId="0">
      <text>
        <r>
          <rPr>
            <sz val="9"/>
            <color indexed="81"/>
            <rFont val="Tahoma"/>
            <family val="2"/>
          </rPr>
          <t>VANDAL - Vandalisme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FPVOL - Frais et pertes consécutifs (vol)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DIMOB - Détériorations mobilières et immobilières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FRGAR - Frais de gardiennage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BDG - Garantie Bris de Glaces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BDG - Bris des glaces</t>
        </r>
      </text>
    </comment>
    <comment ref="B156" authorId="0" shapeId="0">
      <text>
        <r>
          <rPr>
            <sz val="9"/>
            <color indexed="81"/>
            <rFont val="Tahoma"/>
            <family val="2"/>
          </rPr>
          <t>FPBDG - Frais et pertes consécutifs (bris de glaces)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DIMOB - Détériorations mobilières et immobilières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FPDT - Frais de pose, dépose, transport</t>
        </r>
      </text>
    </comment>
    <comment ref="B159" authorId="0" shapeId="0">
      <text>
        <r>
          <rPr>
            <sz val="9"/>
            <color indexed="81"/>
            <rFont val="Tahoma"/>
            <family val="2"/>
          </rPr>
          <t>FCLOGA - Frais de clôture provisoire et/ou de gardiennage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FRIN - Frais de reconstitution des inscriptions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BDM - Garantie Bris de Machines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BRDM - Bris de machines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FPBDM - Frais et pertes consécutifs (bris de machines)</t>
        </r>
      </text>
    </comment>
    <comment ref="B164" authorId="0" shapeId="0">
      <text>
        <r>
          <rPr>
            <sz val="9"/>
            <color indexed="81"/>
            <rFont val="Tahoma"/>
            <family val="2"/>
          </rPr>
          <t>PDLBDM - Perte de loyers</t>
        </r>
      </text>
    </comment>
    <comment ref="H164" authorId="0" shapeId="0">
      <text>
        <r>
          <rPr>
            <sz val="9"/>
            <color indexed="81"/>
            <rFont val="Tahoma"/>
            <family val="2"/>
          </rPr>
          <t>DAB - 10% montant Bris Machines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TRI - Garantie Dommages aux Matériels Informatiques et Numériques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DMTRI - Dommages matériels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PORTRI - Ordinateurs Portables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FRMTRI - Frais de reconstitution des médias</t>
        </r>
      </text>
    </comment>
    <comment ref="H168" authorId="0" shapeId="0">
      <text>
        <r>
          <rPr>
            <sz val="9"/>
            <color indexed="81"/>
            <rFont val="Tahoma"/>
            <family val="2"/>
          </rPr>
          <t>DAB - 12 mois PI, max 2k€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FSTRI - Frais supplémentaires d'exploitation</t>
        </r>
      </text>
    </comment>
    <comment ref="H169" authorId="0" shapeId="0">
      <text>
        <r>
          <rPr>
            <sz val="9"/>
            <color indexed="81"/>
            <rFont val="Tahoma"/>
            <family val="2"/>
          </rPr>
          <t>DAB - 12 mois PI, max 2k€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CARRI - Garantie Dommages aux Carrières et Manèges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DMSOL - Dommages aux sols des carrières et manèges</t>
        </r>
      </text>
    </comment>
    <comment ref="E171" authorId="0" shapeId="0">
      <text>
        <r>
          <rPr>
            <sz val="9"/>
            <color indexed="81"/>
            <rFont val="Tahoma"/>
            <family val="2"/>
          </rPr>
          <t xml:space="preserve">DAB - 10% des dom. Mini 2k€  </t>
        </r>
        <r>
          <rPr>
            <b/>
            <sz val="9"/>
            <color indexed="81"/>
            <rFont val="Tahoma"/>
            <family val="2"/>
          </rPr>
          <t xml:space="preserve">                              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COULAG - Garantie Coulage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COULAG - Coulage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DABPF - Dommages aux Biens Pertes Financières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PERFIN - Garantie Pertes Financières</t>
        </r>
      </text>
    </comment>
    <comment ref="B176" authorId="0" shapeId="0">
      <text>
        <r>
          <rPr>
            <sz val="9"/>
            <color indexed="81"/>
            <rFont val="Tahoma"/>
            <family val="2"/>
          </rPr>
          <t>PEIRA - Pertes d'Exploitation consécutives à Incendie et Risques annexes</t>
        </r>
      </text>
    </comment>
    <comment ref="H176" authorId="0" shapeId="0">
      <text>
        <r>
          <rPr>
            <sz val="9"/>
            <color indexed="81"/>
            <rFont val="Tahoma"/>
            <family val="2"/>
          </rPr>
          <t>DAB - 12 mois MBrute, max 80% du CA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PEAC - Pertes d'Exploitation consécutives à un accident d'ordre électrique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IMPACC - Impossibilité d'accès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FSAD - Frais supplémentaires additionnels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VV - Garantie Valeur Vénale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VV - Perte de la Valeur Vénale</t>
        </r>
      </text>
    </comment>
    <comment ref="H181" authorId="0" shapeId="0">
      <text>
        <r>
          <rPr>
            <sz val="9"/>
            <color indexed="81"/>
            <rFont val="Tahoma"/>
            <family val="2"/>
          </rPr>
          <t>DAB - valeur vénale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DABCOM - Garantie commune aux Garanties Dommages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DABCOM - Garanties communes aux Garanties Dommages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HONEXP - Honoraires d'experts</t>
        </r>
      </text>
    </comment>
    <comment ref="H184" authorId="0" shapeId="0">
      <text>
        <r>
          <rPr>
            <sz val="9"/>
            <color indexed="81"/>
            <rFont val="Tahoma"/>
            <family val="2"/>
          </rPr>
          <t>DAB - selon barème CS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ATTENT - Attentats</t>
        </r>
      </text>
    </comment>
    <comment ref="E185" authorId="0" shapeId="0">
      <text>
        <r>
          <rPr>
            <sz val="9"/>
            <color indexed="81"/>
            <rFont val="Tahoma"/>
            <family val="2"/>
          </rPr>
          <t>DAB - Garantie légale - Attentat</t>
        </r>
      </text>
    </comment>
    <comment ref="H185" authorId="0" shapeId="0">
      <text>
        <r>
          <rPr>
            <sz val="9"/>
            <color indexed="81"/>
            <rFont val="Tahoma"/>
            <family val="2"/>
          </rPr>
          <t>DAB - Garantie légale - Attentat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RC - Responsabilité Civile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RCPIM - Responsabilité civile propriétaire d''immeubles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TDCMI - Tous dommages corporels, matériels et immatériels confondus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FAUT2 - Faute inexcusable &amp; Maladies professionnelles</t>
        </r>
      </text>
    </comment>
    <comment ref="H189" authorId="0" shapeId="0">
      <text>
        <r>
          <rPr>
            <sz val="9"/>
            <color indexed="81"/>
            <rFont val="Tahoma"/>
            <family val="2"/>
          </rPr>
          <t>RC - 500k€/sin maxi 800 k€/année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MLVID - Maladies transmises par les vide-ordures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ATTENV - Atteinte à l'environnement d'origine accidentelle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RCMO - Responsabilité Civile Maître d'Ouvrage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DAVOIS - Dommages aux avoisinants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DMIC - Dommages matériels et immatériels consécutifs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RETCOU - Retard ou omission dans la distribution du courrier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VOLPRE - Vols par préposés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RCVPK - Responsabilité civile vie privée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DCMIC - Responsabilité Civile : Corporel, matériel et immatériels consécutifs</t>
        </r>
      </text>
    </comment>
    <comment ref="B199" authorId="0" shapeId="0">
      <text>
        <r>
          <rPr>
            <sz val="9"/>
            <color indexed="81"/>
            <rFont val="Tahoma"/>
            <family val="2"/>
          </rPr>
          <t>DMIC - Dommages matériels et immatériels consécutifs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ASSJUR - Assistance juridique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ASSJUR - Assistance juridique</t>
        </r>
      </text>
    </comment>
  </commentList>
</comments>
</file>

<file path=xl/sharedStrings.xml><?xml version="1.0" encoding="utf-8"?>
<sst xmlns="http://schemas.openxmlformats.org/spreadsheetml/2006/main" count="2041" uniqueCount="541">
  <si>
    <t>Designation</t>
  </si>
  <si>
    <t>Periodicite</t>
  </si>
  <si>
    <t>Nature Contrat</t>
  </si>
  <si>
    <t>Part Albingia</t>
  </si>
  <si>
    <t xml:space="preserve">au </t>
  </si>
  <si>
    <t>Branche/Cible</t>
  </si>
  <si>
    <t>Période garantie</t>
  </si>
  <si>
    <t>Risque 1</t>
  </si>
  <si>
    <t>Formule A</t>
  </si>
  <si>
    <t>Franchise</t>
  </si>
  <si>
    <t>LCI</t>
  </si>
  <si>
    <t>Assiette</t>
  </si>
  <si>
    <t>Prime</t>
  </si>
  <si>
    <t>RC</t>
  </si>
  <si>
    <t>Cotisations</t>
  </si>
  <si>
    <t>CATNAT</t>
  </si>
  <si>
    <t>Gestionnaire</t>
  </si>
  <si>
    <t>Souscripteur</t>
  </si>
  <si>
    <t>Assuré</t>
  </si>
  <si>
    <t>Numéro de Police/Aliment</t>
  </si>
  <si>
    <t>Courtier Apporteur</t>
  </si>
  <si>
    <t>Courtier Payeur</t>
  </si>
  <si>
    <t>Devise</t>
  </si>
  <si>
    <t>EUR</t>
  </si>
  <si>
    <t>O</t>
  </si>
  <si>
    <t>C</t>
  </si>
  <si>
    <t>Courtier Gestionnaire/Quittancement/Interlocuteur</t>
  </si>
  <si>
    <t>Régime Taxe</t>
  </si>
  <si>
    <t>1 - Régime normal</t>
  </si>
  <si>
    <t>Prochaine échéance</t>
  </si>
  <si>
    <t>Indice Référence/Valeur</t>
  </si>
  <si>
    <t>Taux CATNAT</t>
  </si>
  <si>
    <t>Taux Hors CATNAT</t>
  </si>
  <si>
    <t>Intercalaire courtier</t>
  </si>
  <si>
    <t>N</t>
  </si>
  <si>
    <t>CONTRAT KHEOPS</t>
  </si>
  <si>
    <t>Échéance principale (JJ/MM)</t>
  </si>
  <si>
    <t>Date Accord (JJ/MM/YYYY)</t>
  </si>
  <si>
    <t>Préavis (Nb Mois)</t>
  </si>
  <si>
    <t>Bloc</t>
  </si>
  <si>
    <t>Volet</t>
  </si>
  <si>
    <t>IA</t>
  </si>
  <si>
    <t>Nomenclatures</t>
  </si>
  <si>
    <t>Objet 1</t>
  </si>
  <si>
    <t>Partie Objet (rajouter autant de bloc qu'il y a d'objets dans le risque)</t>
  </si>
  <si>
    <t>Partie Risque (rajouter autant de bloc qu'il y a de risques dans le contrat)</t>
  </si>
  <si>
    <t>Partie Formule/Garanties (rajouter autant d'association Volet/Bloc/Garanties que nécessaire)</t>
  </si>
  <si>
    <t>P</t>
  </si>
  <si>
    <t>Type (O/P)</t>
  </si>
  <si>
    <t>RS</t>
  </si>
  <si>
    <t>MR</t>
  </si>
  <si>
    <t>ASSURANCE ET AUDIT</t>
  </si>
  <si>
    <t>A - Annuel</t>
  </si>
  <si>
    <t>FFB</t>
  </si>
  <si>
    <t>URL/Nom/Reference</t>
  </si>
  <si>
    <t>C:\\Projets\\DocsConnecteur\\Tarification-CLA-HARAS.pdf</t>
  </si>
  <si>
    <t>Tarif A&amp;A</t>
  </si>
  <si>
    <t>C:\\Projets\\DocsConnecteur\\17045440142-Conditions-Particulieres-DAB-CLA-HARAS.docx</t>
  </si>
  <si>
    <t>JOINT-INTER-2 - Contrat A&amp;A</t>
  </si>
  <si>
    <t>Partie Fichier Intercalaire (rajouter autant de blocs qu'il y a de fichiers)</t>
  </si>
  <si>
    <t>Date Effet (JJ/MM/YYYY) Début/Fin</t>
  </si>
  <si>
    <t>Mots Clés</t>
  </si>
  <si>
    <t>Mots Clés (3 max)</t>
  </si>
  <si>
    <t>Bâtiments assurés</t>
  </si>
  <si>
    <t>RDAB02</t>
  </si>
  <si>
    <t>Territorialité</t>
  </si>
  <si>
    <t>Valeur/Unité/Type/HT-TTC</t>
  </si>
  <si>
    <t>ODAB00</t>
  </si>
  <si>
    <t>Objet 2</t>
  </si>
  <si>
    <t>Objet 3</t>
  </si>
  <si>
    <t>ODAB40</t>
  </si>
  <si>
    <t xml:space="preserve">AP             </t>
  </si>
  <si>
    <t xml:space="preserve">CO             </t>
  </si>
  <si>
    <t xml:space="preserve">IA             </t>
  </si>
  <si>
    <t xml:space="preserve">IN             </t>
  </si>
  <si>
    <t xml:space="preserve">LO             </t>
  </si>
  <si>
    <t xml:space="preserve">MR             </t>
  </si>
  <si>
    <t xml:space="preserve">PJ             </t>
  </si>
  <si>
    <t xml:space="preserve">PP             </t>
  </si>
  <si>
    <t xml:space="preserve">RC             </t>
  </si>
  <si>
    <t xml:space="preserve">RS             </t>
  </si>
  <si>
    <t xml:space="preserve">RT             </t>
  </si>
  <si>
    <t xml:space="preserve">TR             </t>
  </si>
  <si>
    <t xml:space="preserve">ZZ             </t>
  </si>
  <si>
    <t>Branches</t>
  </si>
  <si>
    <t xml:space="preserve">EQDOM     </t>
  </si>
  <si>
    <t xml:space="preserve">HOTELIERS </t>
  </si>
  <si>
    <t xml:space="preserve">PMEPMI    </t>
  </si>
  <si>
    <t xml:space="preserve">BUREAUX   </t>
  </si>
  <si>
    <t xml:space="preserve">EXP       </t>
  </si>
  <si>
    <t xml:space="preserve">PROFART   </t>
  </si>
  <si>
    <t xml:space="preserve">BIJ       </t>
  </si>
  <si>
    <t xml:space="preserve">PYG       </t>
  </si>
  <si>
    <t>AP</t>
  </si>
  <si>
    <t>CO</t>
  </si>
  <si>
    <t xml:space="preserve">GRCEQSAL  </t>
  </si>
  <si>
    <t xml:space="preserve">IMACEQ    </t>
  </si>
  <si>
    <t xml:space="preserve">GRCEQCLI  </t>
  </si>
  <si>
    <t xml:space="preserve">MISSION   </t>
  </si>
  <si>
    <t xml:space="preserve">MADELIN   </t>
  </si>
  <si>
    <t>PARTICULIE</t>
  </si>
  <si>
    <t xml:space="preserve">GROUPES   </t>
  </si>
  <si>
    <t xml:space="preserve">VOY       </t>
  </si>
  <si>
    <t xml:space="preserve">PPRO      </t>
  </si>
  <si>
    <t xml:space="preserve">IMAGE     </t>
  </si>
  <si>
    <t xml:space="preserve">REVENTE   </t>
  </si>
  <si>
    <t xml:space="preserve">HCLE      </t>
  </si>
  <si>
    <t xml:space="preserve">DAB       </t>
  </si>
  <si>
    <t xml:space="preserve">VITICOLE  </t>
  </si>
  <si>
    <t xml:space="preserve">PNO       </t>
  </si>
  <si>
    <t>IN</t>
  </si>
  <si>
    <t>LO</t>
  </si>
  <si>
    <t>PJ</t>
  </si>
  <si>
    <t>PP</t>
  </si>
  <si>
    <t xml:space="preserve">AUDRC     </t>
  </si>
  <si>
    <t xml:space="preserve">RCCEQ     </t>
  </si>
  <si>
    <t xml:space="preserve">RCORG     </t>
  </si>
  <si>
    <t xml:space="preserve">INDGRAPH  </t>
  </si>
  <si>
    <t xml:space="preserve">ASSURPOL  </t>
  </si>
  <si>
    <t xml:space="preserve">AMSRÉ     </t>
  </si>
  <si>
    <t xml:space="preserve">RCMDO     </t>
  </si>
  <si>
    <t xml:space="preserve">RCPIM     </t>
  </si>
  <si>
    <t xml:space="preserve">ETS       </t>
  </si>
  <si>
    <t xml:space="preserve">CRE       </t>
  </si>
  <si>
    <t xml:space="preserve">EXPERT    </t>
  </si>
  <si>
    <t xml:space="preserve">SPS       </t>
  </si>
  <si>
    <t>CONSULTANT</t>
  </si>
  <si>
    <t xml:space="preserve">PMO       </t>
  </si>
  <si>
    <t xml:space="preserve">MDB       </t>
  </si>
  <si>
    <t xml:space="preserve">ETT       </t>
  </si>
  <si>
    <t xml:space="preserve">SSI       </t>
  </si>
  <si>
    <t>RT</t>
  </si>
  <si>
    <t>TR</t>
  </si>
  <si>
    <t>ZZ</t>
  </si>
  <si>
    <t xml:space="preserve">AUDIORS   </t>
  </si>
  <si>
    <t xml:space="preserve">TV        </t>
  </si>
  <si>
    <t>RECUPAVPRE</t>
  </si>
  <si>
    <t>RECUPEDUCA</t>
  </si>
  <si>
    <t xml:space="preserve">FRAISCO   </t>
  </si>
  <si>
    <t>RECUPIMPGS</t>
  </si>
  <si>
    <t xml:space="preserve">PPECU     </t>
  </si>
  <si>
    <t>RECUPRSDIV</t>
  </si>
  <si>
    <t xml:space="preserve">CONGRES   </t>
  </si>
  <si>
    <t>RECUPSYMPO</t>
  </si>
  <si>
    <t xml:space="preserve">FOIRE     </t>
  </si>
  <si>
    <t xml:space="preserve">UNI       </t>
  </si>
  <si>
    <t>RECUPTOPEX</t>
  </si>
  <si>
    <t xml:space="preserve">SPECTACLE </t>
  </si>
  <si>
    <t xml:space="preserve">THEATRE   </t>
  </si>
  <si>
    <t xml:space="preserve">MANIFSPO  </t>
  </si>
  <si>
    <t xml:space="preserve">CEREMONIE </t>
  </si>
  <si>
    <t xml:space="preserve">RECUPTRIO </t>
  </si>
  <si>
    <t>ENR</t>
  </si>
  <si>
    <t xml:space="preserve">RCTRANS   </t>
  </si>
  <si>
    <t xml:space="preserve">FACULTES  </t>
  </si>
  <si>
    <t xml:space="preserve">CHARGEURS </t>
  </si>
  <si>
    <t xml:space="preserve">TPC       </t>
  </si>
  <si>
    <t>Périodicités</t>
  </si>
  <si>
    <t>E - Unique - Echéancier</t>
  </si>
  <si>
    <t>R - Régularisation seule</t>
  </si>
  <si>
    <t>S - Semestriel</t>
  </si>
  <si>
    <t>T - Trimestriel</t>
  </si>
  <si>
    <t>U - Unique</t>
  </si>
  <si>
    <t>ACONSERVER - Dossier à conserver</t>
  </si>
  <si>
    <t>ACTEON - acteon</t>
  </si>
  <si>
    <t>AGE - IA tranche d'âge</t>
  </si>
  <si>
    <t>ANREF - Affaire de référence</t>
  </si>
  <si>
    <t>AO - appel d'offre</t>
  </si>
  <si>
    <t>APRIL - APRIL</t>
  </si>
  <si>
    <t>AR CO FAIT - demande de doc faite</t>
  </si>
  <si>
    <t>AVPRE2 - Avant première V2</t>
  </si>
  <si>
    <t>AVPRE3 - Avant première V3</t>
  </si>
  <si>
    <t>BAILLEUR - contrat pour leaseur</t>
  </si>
  <si>
    <t>BCT - BCT</t>
  </si>
  <si>
    <t>BUDGET - Budget offres CO</t>
  </si>
  <si>
    <t>C.EQUESTRE - Centre équestre</t>
  </si>
  <si>
    <t>CAMPING - Camping</t>
  </si>
  <si>
    <t>CAVA - Cavalassur Centre Eq</t>
  </si>
  <si>
    <t>CIBLE - ciblage tarification</t>
  </si>
  <si>
    <t>CINETV - RS Convention CINEMA</t>
  </si>
  <si>
    <t>COMPLEMENT - RCD COMPLEMENTAIRE</t>
  </si>
  <si>
    <t>COTRC - TRC service CO</t>
  </si>
  <si>
    <t>DIOT - DIOT</t>
  </si>
  <si>
    <t>DRONE - DRONE</t>
  </si>
  <si>
    <t>DUBOURG - GEST.IMMO.DUBOURG</t>
  </si>
  <si>
    <t>EOLIENNE - Eolienne</t>
  </si>
  <si>
    <t>EQUI - Equicourtage Centre</t>
  </si>
  <si>
    <t>ETRANGER - Risques à l'étranger</t>
  </si>
  <si>
    <t>EVAM - EVAM syndic pro</t>
  </si>
  <si>
    <t>EWIGO - EWIGO</t>
  </si>
  <si>
    <t>FERROV - matériel ferroviaire</t>
  </si>
  <si>
    <t>FORAGE - FORAGE</t>
  </si>
  <si>
    <t>GPCHCHALON - GP C CH CHALONS CHAM</t>
  </si>
  <si>
    <t>GS NANTES - GS NANTES</t>
  </si>
  <si>
    <t>GS SOLUT° - GS SOLUTION</t>
  </si>
  <si>
    <t>GSSOLIA - GS Solution IA</t>
  </si>
  <si>
    <t>HAMBOURG - demande Hambourg</t>
  </si>
  <si>
    <t>HDN - HDN conseil</t>
  </si>
  <si>
    <t>HF - information HF</t>
  </si>
  <si>
    <t>HYDROSUD - HYDROSUD DIRECT</t>
  </si>
  <si>
    <t>ICADE - ICADE</t>
  </si>
  <si>
    <t>ICADE HPHP - HORS PROT HORS PAT</t>
  </si>
  <si>
    <t>ICADE HPPA - HORS PROT PAT</t>
  </si>
  <si>
    <t>ICADE PHPA - PROT HORS PAT</t>
  </si>
  <si>
    <t>ICADE PP - PROT PAT</t>
  </si>
  <si>
    <t>INDEP - rep.pol. INDEPENDENT</t>
  </si>
  <si>
    <t>INSPECT13 - Inspection Marseille</t>
  </si>
  <si>
    <t>JDC - journées du courtage</t>
  </si>
  <si>
    <t>JOCE - appel d'offre public</t>
  </si>
  <si>
    <t>LAPOSTOLLE - LAPOSTOLLE</t>
  </si>
  <si>
    <t>LPSBELGIQU - LPS Belgique</t>
  </si>
  <si>
    <t>LTA - accord longue durée</t>
  </si>
  <si>
    <t>MALAXEUR - Malaxeur</t>
  </si>
  <si>
    <t>MARSREPUBL - Marseille République</t>
  </si>
  <si>
    <t>MEA - reprise des contrat</t>
  </si>
  <si>
    <t>METHAN - Méthanisation</t>
  </si>
  <si>
    <t>MICROHYDRO - microcentrale hydro</t>
  </si>
  <si>
    <t>MILLER - MILLER</t>
  </si>
  <si>
    <t>MONACOTT - Monaco tremb terre</t>
  </si>
  <si>
    <t>MONCEAU - Groupe MONCEAU</t>
  </si>
  <si>
    <t>MONTGRU - monteur de grues</t>
  </si>
  <si>
    <t>MS - Marchandises sensibl</t>
  </si>
  <si>
    <t>NGIMMO - NG IMMO</t>
  </si>
  <si>
    <t>NOTICE - Contrat avec notice</t>
  </si>
  <si>
    <t>NUCLEAIRE - Nucléaire</t>
  </si>
  <si>
    <t>POLL - RC pollut° ASSURPOL</t>
  </si>
  <si>
    <t>POLMER - Contrat Aliments</t>
  </si>
  <si>
    <t>PONT - Pont</t>
  </si>
  <si>
    <t>PROTOC AON - Proto AON CO PARIS</t>
  </si>
  <si>
    <t>PROTOCOLE - Protocole</t>
  </si>
  <si>
    <t>QUINQUENNA - DO QUINQUENNALE</t>
  </si>
  <si>
    <t>RADIOLOGUE - RADIOLOGUE</t>
  </si>
  <si>
    <t>RCSOLO - RC Solo</t>
  </si>
  <si>
    <t>RDVCOM13 - RDV Com    Marseille</t>
  </si>
  <si>
    <t>RE LPS - re-souscription</t>
  </si>
  <si>
    <t>REGUL - Régule à effectuer</t>
  </si>
  <si>
    <t>RESAHIDF - Hopitaux IDF</t>
  </si>
  <si>
    <t>SDP MARTI - affaire martinique</t>
  </si>
  <si>
    <t>SG - SOCIETE GENERALE</t>
  </si>
  <si>
    <t>SNI - SNI</t>
  </si>
  <si>
    <t>SOLAIRE - SOLAIRE</t>
  </si>
  <si>
    <t>SOUTERR - matériel souterrain</t>
  </si>
  <si>
    <t>TEMPO - tempo en transport</t>
  </si>
  <si>
    <t>TF1 - TF1</t>
  </si>
  <si>
    <t>TIG - TIG</t>
  </si>
  <si>
    <t>TOUR - TOUR MONTPARNASSE</t>
  </si>
  <si>
    <t>TRAMWAY - tramway</t>
  </si>
  <si>
    <t>TUNNELIER - Tunnelier</t>
  </si>
  <si>
    <t>Objets</t>
  </si>
  <si>
    <t>Contenu assurés</t>
  </si>
  <si>
    <t>Equidés de l'Assuré</t>
  </si>
  <si>
    <t>Equidés confiés</t>
  </si>
  <si>
    <t>Contenu d'habitation assurés</t>
  </si>
  <si>
    <t>Pertes de Marge Brute</t>
  </si>
  <si>
    <t>Pertes de Valeur Vénale</t>
  </si>
  <si>
    <t>QUA01</t>
  </si>
  <si>
    <t>M2</t>
  </si>
  <si>
    <t>ODAB12</t>
  </si>
  <si>
    <t>D</t>
  </si>
  <si>
    <t>VNR</t>
  </si>
  <si>
    <t>H</t>
  </si>
  <si>
    <t>Objet 4</t>
  </si>
  <si>
    <t>Objet 5</t>
  </si>
  <si>
    <t>CAA</t>
  </si>
  <si>
    <t>Objet 6</t>
  </si>
  <si>
    <t>VV</t>
  </si>
  <si>
    <t>Objet 7</t>
  </si>
  <si>
    <t>FAM</t>
  </si>
  <si>
    <t>ODAB21</t>
  </si>
  <si>
    <t>RCC1</t>
  </si>
  <si>
    <t>OGEN01</t>
  </si>
  <si>
    <t>ODAB22</t>
  </si>
  <si>
    <t>Type Police</t>
  </si>
  <si>
    <t>Cellule à renseigner obligatoirement</t>
  </si>
  <si>
    <t>Cellule à ne pas modifier</t>
  </si>
  <si>
    <t>Prime Forcée HT Hors CATNAT/Valeur</t>
  </si>
  <si>
    <t>IND</t>
  </si>
  <si>
    <t>VID</t>
  </si>
  <si>
    <t>SIN</t>
  </si>
  <si>
    <t>JO</t>
  </si>
  <si>
    <t>SEU</t>
  </si>
  <si>
    <t>0,80</t>
  </si>
  <si>
    <t>250</t>
  </si>
  <si>
    <t>0,30</t>
  </si>
  <si>
    <t>3</t>
  </si>
  <si>
    <t>CPX</t>
  </si>
  <si>
    <t>LD0</t>
  </si>
  <si>
    <t>LD9</t>
  </si>
  <si>
    <t>LD2</t>
  </si>
  <si>
    <t>15</t>
  </si>
  <si>
    <t>760</t>
  </si>
  <si>
    <t>1</t>
  </si>
  <si>
    <t>MOI</t>
  </si>
  <si>
    <t>%</t>
  </si>
  <si>
    <t>2</t>
  </si>
  <si>
    <t>LD3</t>
  </si>
  <si>
    <t>5000000</t>
  </si>
  <si>
    <t>VAS</t>
  </si>
  <si>
    <t>2500</t>
  </si>
  <si>
    <t>%0</t>
  </si>
  <si>
    <t>4</t>
  </si>
  <si>
    <t>184</t>
  </si>
  <si>
    <t>17045440123</t>
  </si>
  <si>
    <t>BUCHAJCZYK</t>
  </si>
  <si>
    <t>HARAS</t>
  </si>
  <si>
    <t>165823</t>
  </si>
  <si>
    <t>2000</t>
  </si>
  <si>
    <t>16000</t>
  </si>
  <si>
    <t>180000</t>
  </si>
  <si>
    <t>0</t>
  </si>
  <si>
    <t>5</t>
  </si>
  <si>
    <t>sans valeur</t>
  </si>
  <si>
    <t>Territorialités</t>
  </si>
  <si>
    <t xml:space="preserve">               </t>
  </si>
  <si>
    <t xml:space="preserve">CEC            </t>
  </si>
  <si>
    <t xml:space="preserve">CEE            </t>
  </si>
  <si>
    <t xml:space="preserve">DOM            </t>
  </si>
  <si>
    <t xml:space="preserve">EUR            </t>
  </si>
  <si>
    <t xml:space="preserve">FAM            </t>
  </si>
  <si>
    <t xml:space="preserve">FRA            </t>
  </si>
  <si>
    <t xml:space="preserve">FRC            </t>
  </si>
  <si>
    <t xml:space="preserve">FRM            </t>
  </si>
  <si>
    <t xml:space="preserve">FRO            </t>
  </si>
  <si>
    <t xml:space="preserve">LUX            </t>
  </si>
  <si>
    <t xml:space="preserve">MOH            </t>
  </si>
  <si>
    <t xml:space="preserve">MON            </t>
  </si>
  <si>
    <t xml:space="preserve">SUI            </t>
  </si>
  <si>
    <t xml:space="preserve">TER            </t>
  </si>
  <si>
    <t xml:space="preserve">UE             </t>
  </si>
  <si>
    <t xml:space="preserve">UE+            </t>
  </si>
  <si>
    <t xml:space="preserve">UE-            </t>
  </si>
  <si>
    <t>Informations sélectionées</t>
  </si>
  <si>
    <t>Choix</t>
  </si>
  <si>
    <t>Unité</t>
  </si>
  <si>
    <t xml:space="preserve">D              </t>
  </si>
  <si>
    <t xml:space="preserve">N              </t>
  </si>
  <si>
    <t>Type</t>
  </si>
  <si>
    <t>VTD</t>
  </si>
  <si>
    <t>CAS</t>
  </si>
  <si>
    <t>EQI</t>
  </si>
  <si>
    <t>MB</t>
  </si>
  <si>
    <t>VAN</t>
  </si>
  <si>
    <t>VRN</t>
  </si>
  <si>
    <t>VU</t>
  </si>
  <si>
    <t>HTTC</t>
  </si>
  <si>
    <t>T</t>
  </si>
  <si>
    <t>Nb_Volet</t>
  </si>
  <si>
    <t>Nb_Bloc</t>
  </si>
  <si>
    <t>Nb_Garantie</t>
  </si>
  <si>
    <t>Nb_Risque</t>
  </si>
  <si>
    <t>Nb_Objet</t>
  </si>
  <si>
    <t>INHIS - Monument Historique</t>
  </si>
  <si>
    <t>DDEBAT - Bâtiments</t>
  </si>
  <si>
    <t>GELCON - Conduites suite à gel</t>
  </si>
  <si>
    <t>ASSPRO - Assuré propriétaire</t>
  </si>
  <si>
    <t>RECLOC - Recours des locataires</t>
  </si>
  <si>
    <t>RSQLOC - Risques locatifs</t>
  </si>
  <si>
    <t>DMIC - Dommages matériels et immatériels consécutifs</t>
  </si>
  <si>
    <t>PERUSA - Perte d'usage</t>
  </si>
  <si>
    <t>PERFI - Perte financière</t>
  </si>
  <si>
    <t>INCONF - Biens confiés à des tiers</t>
  </si>
  <si>
    <t>Garantie 1</t>
  </si>
  <si>
    <t>DDECON - Contenu Professionnel (mobilier, matériel et marchandises)</t>
  </si>
  <si>
    <t>REFEGO - Refoulement des égouts</t>
  </si>
  <si>
    <t>TRJOUP - Responsabilité trouble de jouissance</t>
  </si>
  <si>
    <t>ASSLOC - Assuré locataire</t>
  </si>
  <si>
    <t>TRJOUL - Responsabilité trouble de jouissance</t>
  </si>
  <si>
    <t>DIC - Dommages immatériels consécutifs</t>
  </si>
  <si>
    <t>PDL - Perte des loyers</t>
  </si>
  <si>
    <t>DDEHAB - Contenu Habitation (mobilier, matériel)</t>
  </si>
  <si>
    <t>EPAMAZ - Epanchement de mazout</t>
  </si>
  <si>
    <t>PRTLOY - Responsabilité Perte de loyers</t>
  </si>
  <si>
    <t>RCDD - Responsabilité du détenteur ou dépositaire</t>
  </si>
  <si>
    <t>FMC - Frais de mise en conformité</t>
  </si>
  <si>
    <t>DTLC - Dans tous les cas :</t>
  </si>
  <si>
    <t>INCLO - Clôtures</t>
  </si>
  <si>
    <t>FPDDE - Frais et pertes consécutifs</t>
  </si>
  <si>
    <t>FREFUI - Frais de recherche de fuites</t>
  </si>
  <si>
    <t>RECVT - Recours des voisins et tiers</t>
  </si>
  <si>
    <t>RECODO - Remboursement cotisation Dommages Ouvrage</t>
  </si>
  <si>
    <t>FDR - Frais de déplacement et de relogement</t>
  </si>
  <si>
    <t>INOBJ - Objets de valeur</t>
  </si>
  <si>
    <t>FRRETA - Frais de remise en état des biens immobiliers suite à recherche</t>
  </si>
  <si>
    <t>RCINC - Responsabilité Incendie</t>
  </si>
  <si>
    <t>FPINC - Frais et pertes consécutifs (incendie et  risques annexes)</t>
  </si>
  <si>
    <t>TAXIMP - Taxes et Impôts</t>
  </si>
  <si>
    <t>FDD - Frais de démolition et de déblais</t>
  </si>
  <si>
    <t>HDBECT - Honoraires décorateurs, bureaux: d'étude, contrôle technique, ingénierie</t>
  </si>
  <si>
    <t>INTEPT - Intérêts d'emprunt</t>
  </si>
  <si>
    <t>DOMSEC - Dommages matériels occasionnés par les secours</t>
  </si>
  <si>
    <t>FRA - Frais de reconstitution d'archives</t>
  </si>
  <si>
    <t>PIFOR - Pertes indirectes forfaitaires</t>
  </si>
  <si>
    <t>VOLMMM - Vol mobilier, matériel, marchandises</t>
  </si>
  <si>
    <t>VOLHAB - Vol mobilier d'habitation</t>
  </si>
  <si>
    <t>VOLSEL - Vol de sellerie</t>
  </si>
  <si>
    <t>VOLEXT - Vol sans effraction de biens à l'extérieur</t>
  </si>
  <si>
    <t>VOLEQ - Vol des équidés</t>
  </si>
  <si>
    <t>VOLTC - Vol en tiroir caisse, meubles fermés à clé</t>
  </si>
  <si>
    <t>DIMOB - Détériorations mobilières et immobilières</t>
  </si>
  <si>
    <t>FRGAR - Frais de gardiennage</t>
  </si>
  <si>
    <t>VANDAL - Vandalisme</t>
  </si>
  <si>
    <t>FPVOL - Frais et pertes consécutifs (vol)</t>
  </si>
  <si>
    <t>ATTENT - Attentats</t>
  </si>
  <si>
    <t>HONEXP - Honoraires d'experts</t>
  </si>
  <si>
    <t>FAUT2 - Faute inexcusable &amp; Maladies professionnelles</t>
  </si>
  <si>
    <t>MLVID - Maladies transmises par les vide-ordures</t>
  </si>
  <si>
    <t>ATTENV - Atteinte à l'environnement d'origine accidentelle</t>
  </si>
  <si>
    <t>RCMO - Responsabilité Civile Maître d'Ouvrage</t>
  </si>
  <si>
    <t>DAVOIS - Dommages aux avoisinants</t>
  </si>
  <si>
    <t>RETCOU - Retard ou omission dans la distribution du courrier</t>
  </si>
  <si>
    <t>VOLPRE - Vols par préposés</t>
  </si>
  <si>
    <t>TAINBA - Tarif Incendie Bâtiments</t>
  </si>
  <si>
    <t>TAINCO - Tarif Incendie Contenu Professionnel</t>
  </si>
  <si>
    <t>TAINHA - Tarif Incendie Contenu Habitation</t>
  </si>
  <si>
    <t>TAINPE - Pertes d'Exploitation Incendie (Bâtiments)</t>
  </si>
  <si>
    <t>TAINVV - Tarif Valeur vénale</t>
  </si>
  <si>
    <t>TARCPI - Tarif RC propriétaire immeubles</t>
  </si>
  <si>
    <t>INEXFO - Incendie, explosion, foudre</t>
  </si>
  <si>
    <t>EMEUT - Emeutes, mouvements populaires</t>
  </si>
  <si>
    <t>TGN - Tempêtes, grêle et neige sur les toitures</t>
  </si>
  <si>
    <t>CHVT - Choc de véhicule terrestre à moteur</t>
  </si>
  <si>
    <t>RSELEC - Dommages électriques</t>
  </si>
  <si>
    <t>DDEGEL - Dégâts des eaux et gel</t>
  </si>
  <si>
    <t>PEIRA - Pertes d'Exploitation consécutives à Incendie et Risques annexes</t>
  </si>
  <si>
    <t>PEAC - Pertes d'Exploitation consécutives à un accident d'ordre électrique</t>
  </si>
  <si>
    <t>IMPACC - Impossibilité d'accès</t>
  </si>
  <si>
    <t>FSAD - Frais supplémentaires additionnels</t>
  </si>
  <si>
    <t>TDCMI - Tous dommages corporels, matériels et immatériels confondus</t>
  </si>
  <si>
    <t>ASSJUR - Assistance juridique</t>
  </si>
  <si>
    <t xml:space="preserve">          Garantie 2</t>
  </si>
  <si>
    <t xml:space="preserve">                    Garantie 3</t>
  </si>
  <si>
    <t>TARIFPORT - Tarification portées</t>
  </si>
  <si>
    <t>TAMR - Tarification Multirisque</t>
  </si>
  <si>
    <t>DABCOM - Garanties communes aux Garanties Dommages</t>
  </si>
  <si>
    <t>DABCOM - Garantie commune aux Garanties Dommages</t>
  </si>
  <si>
    <t>RC - Responsabilité Civile</t>
  </si>
  <si>
    <t>RCPIM - Responsabilité civile propriétaire d''immeubles</t>
  </si>
  <si>
    <t>BDG - Garantie Bris de Glaces</t>
  </si>
  <si>
    <t>BDM - Garantie Bris de Machines</t>
  </si>
  <si>
    <t>TRI - Garantie Dommages aux Matériels Informatiques et Numériques</t>
  </si>
  <si>
    <t>CARRI - Garantie Dommages aux Carrières et Manèges</t>
  </si>
  <si>
    <t>COULAG - Garantie Coulage</t>
  </si>
  <si>
    <t>VOL - Garantie Vol</t>
  </si>
  <si>
    <t>IRA - Garantie Incendie et Risques annexes</t>
  </si>
  <si>
    <t>DABRD - Dommages aux biens risques directs</t>
  </si>
  <si>
    <t>DABPF - Dommages aux Biens Pertes Financières</t>
  </si>
  <si>
    <t>PERFIN - Garantie Pertes Financières</t>
  </si>
  <si>
    <t>VV - Garantie Valeur Vénale</t>
  </si>
  <si>
    <t>RCVPK - Responsabilité civile vie privée</t>
  </si>
  <si>
    <t>BDG - Bris des glaces</t>
  </si>
  <si>
    <t>FPBDG - Frais et pertes consécutifs (bris de glaces)</t>
  </si>
  <si>
    <t>FPDT - Frais de pose, dépose, transport</t>
  </si>
  <si>
    <t>FCLOGA - Frais de clôture provisoire et/ou de gardiennage</t>
  </si>
  <si>
    <t>FRIN - Frais de reconstitution des inscriptions</t>
  </si>
  <si>
    <t>BRDM - Bris de machines</t>
  </si>
  <si>
    <t>FPBDM - Frais et pertes consécutifs (bris de machines)</t>
  </si>
  <si>
    <t>PDLBDM - Perte de loyers</t>
  </si>
  <si>
    <t>DMTRI - Dommages matériels</t>
  </si>
  <si>
    <t>PORTRI - Ordinateurs Portables</t>
  </si>
  <si>
    <t>FRMTRI - Frais de reconstitution des médias</t>
  </si>
  <si>
    <t>FSTRI - Frais supplémentaires d'exploitation</t>
  </si>
  <si>
    <t>COULAG - Coulage</t>
  </si>
  <si>
    <t>VV - Perte de la Valeur Vénale</t>
  </si>
  <si>
    <t>DCMIC - Responsabilité Civile : Corporel, matériel et immatériels consécutifs</t>
  </si>
  <si>
    <t>Adresse</t>
  </si>
  <si>
    <t>Rue</t>
  </si>
  <si>
    <t>Code Postal</t>
  </si>
  <si>
    <t>Ville</t>
  </si>
  <si>
    <t>Numéro</t>
  </si>
  <si>
    <t>109</t>
  </si>
  <si>
    <t>rue Victor Hugo</t>
  </si>
  <si>
    <t>Levallois-Perret</t>
  </si>
  <si>
    <t>Biens assurés</t>
  </si>
  <si>
    <t>INEQ - Equidés appartenant à l'Assuré</t>
  </si>
  <si>
    <t>INEQCO - Equidés confiés par des tiers</t>
  </si>
  <si>
    <t>145</t>
  </si>
  <si>
    <t xml:space="preserve">VV </t>
  </si>
  <si>
    <t>Valeur</t>
  </si>
  <si>
    <t>PPMI</t>
  </si>
  <si>
    <t xml:space="preserve">D  </t>
  </si>
  <si>
    <t>LDJ</t>
  </si>
  <si>
    <t>LDL</t>
  </si>
  <si>
    <t>LDG</t>
  </si>
  <si>
    <t>LDK</t>
  </si>
  <si>
    <t>LDC</t>
  </si>
  <si>
    <t>LD6</t>
  </si>
  <si>
    <t>LD7</t>
  </si>
  <si>
    <t>LD4</t>
  </si>
  <si>
    <t>MAX</t>
  </si>
  <si>
    <t>JUS</t>
  </si>
  <si>
    <t>LD8</t>
  </si>
  <si>
    <t>LD5</t>
  </si>
  <si>
    <t>LDD</t>
  </si>
  <si>
    <t xml:space="preserve">PI </t>
  </si>
  <si>
    <t xml:space="preserve">%  </t>
  </si>
  <si>
    <t xml:space="preserve">MB </t>
  </si>
  <si>
    <t>LDH</t>
  </si>
  <si>
    <t>LD1</t>
  </si>
  <si>
    <t>LRT</t>
  </si>
  <si>
    <t xml:space="preserve">AA </t>
  </si>
  <si>
    <t>500000</t>
  </si>
  <si>
    <t>200000</t>
  </si>
  <si>
    <t>75000</t>
  </si>
  <si>
    <t>38000</t>
  </si>
  <si>
    <t>500</t>
  </si>
  <si>
    <t>LDA</t>
  </si>
  <si>
    <t>LDB</t>
  </si>
  <si>
    <t>3000</t>
  </si>
  <si>
    <t>30</t>
  </si>
  <si>
    <t>8</t>
  </si>
  <si>
    <t>1520</t>
  </si>
  <si>
    <t>76</t>
  </si>
  <si>
    <t>12</t>
  </si>
  <si>
    <t>305</t>
  </si>
  <si>
    <t>1,6</t>
  </si>
  <si>
    <t>FD2</t>
  </si>
  <si>
    <t>0,15</t>
  </si>
  <si>
    <t>0,1</t>
  </si>
  <si>
    <t>5000</t>
  </si>
  <si>
    <t>0,3</t>
  </si>
  <si>
    <t>0,2</t>
  </si>
  <si>
    <t>FD3</t>
  </si>
  <si>
    <t>50000</t>
  </si>
  <si>
    <t>155</t>
  </si>
  <si>
    <t>1525</t>
  </si>
  <si>
    <t>460</t>
  </si>
  <si>
    <t>50</t>
  </si>
  <si>
    <t>200</t>
  </si>
  <si>
    <t>LCI%</t>
  </si>
  <si>
    <t>LEFEBVRE</t>
  </si>
  <si>
    <t>30%</t>
  </si>
  <si>
    <t>DMSOL - Dommages aux sols des carrières et manèges</t>
  </si>
  <si>
    <t>30/05</t>
  </si>
  <si>
    <t>0%</t>
  </si>
  <si>
    <t>Extension</t>
  </si>
  <si>
    <t>FD1</t>
  </si>
  <si>
    <t>15250</t>
  </si>
  <si>
    <t>4575000</t>
  </si>
  <si>
    <t>305000</t>
  </si>
  <si>
    <t>152500</t>
  </si>
  <si>
    <t>610000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</si>
</sst>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 applyProtection="1">
      <protection locked="0"/>
    </xf>
    <xf numFmtId="49" fontId="0" fillId="9" borderId="0" xfId="0" applyNumberFormat="1" applyFill="1" applyProtection="1"/>
    <xf numFmtId="49" fontId="0" fillId="0" borderId="0" xfId="0" applyNumberFormat="1" applyFill="1" applyProtection="1"/>
    <xf numFmtId="49" fontId="0" fillId="0" borderId="0" xfId="0" applyNumberFormat="1" applyFill="1" applyProtection="1">
      <protection locked="0"/>
    </xf>
    <xf numFmtId="49" fontId="0" fillId="0" borderId="0" xfId="0" applyNumberFormat="1" applyProtection="1"/>
    <xf numFmtId="49" fontId="0" fillId="0" borderId="0" xfId="0" applyNumberFormat="1" applyFill="1" applyAlignment="1" applyProtection="1">
      <alignment horizontal="right"/>
      <protection locked="0"/>
    </xf>
    <xf numFmtId="49" fontId="0" fillId="10" borderId="0" xfId="0" applyNumberFormat="1" applyFill="1" applyProtection="1"/>
    <xf numFmtId="14" fontId="0" fillId="0" borderId="0" xfId="0" applyNumberFormat="1" applyFill="1" applyProtection="1">
      <protection locked="0"/>
    </xf>
    <xf numFmtId="14" fontId="0" fillId="0" borderId="0" xfId="0" applyNumberFormat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0" fillId="3" borderId="0" xfId="0" applyNumberFormat="1" applyFill="1" applyProtection="1"/>
    <xf numFmtId="49" fontId="0" fillId="4" borderId="0" xfId="0" applyNumberFormat="1" applyFill="1" applyProtection="1"/>
    <xf numFmtId="49" fontId="3" fillId="4" borderId="0" xfId="0" applyNumberFormat="1" applyFont="1" applyFill="1" applyAlignment="1" applyProtection="1">
      <alignment horizontal="right"/>
    </xf>
    <xf numFmtId="49" fontId="1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49" fontId="3" fillId="4" borderId="0" xfId="0" applyNumberFormat="1" applyFont="1" applyFill="1" applyProtection="1"/>
    <xf numFmtId="49" fontId="4" fillId="4" borderId="0" xfId="0" applyNumberFormat="1" applyFont="1" applyFill="1" applyProtection="1"/>
    <xf numFmtId="49" fontId="0" fillId="0" borderId="0" xfId="0" applyNumberFormat="1" applyFill="1" applyBorder="1" applyAlignment="1" applyProtection="1">
      <alignment horizontal="center" wrapText="1"/>
    </xf>
    <xf numFmtId="49" fontId="1" fillId="4" borderId="0" xfId="0" applyNumberFormat="1" applyFont="1" applyFill="1" applyProtection="1"/>
    <xf numFmtId="49" fontId="3" fillId="5" borderId="0" xfId="0" applyNumberFormat="1" applyFont="1" applyFill="1" applyProtection="1"/>
    <xf numFmtId="49" fontId="0" fillId="5" borderId="0" xfId="0" applyNumberFormat="1" applyFill="1" applyProtection="1"/>
    <xf numFmtId="49" fontId="0" fillId="4" borderId="0" xfId="0" applyNumberFormat="1" applyFill="1" applyAlignment="1" applyProtection="1">
      <alignment horizontal="center"/>
    </xf>
    <xf numFmtId="49" fontId="0" fillId="0" borderId="0" xfId="0" applyNumberFormat="1" applyFill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49" fontId="3" fillId="6" borderId="0" xfId="0" applyNumberFormat="1" applyFont="1" applyFill="1" applyProtection="1"/>
    <xf numFmtId="49" fontId="0" fillId="6" borderId="0" xfId="0" applyNumberFormat="1" applyFill="1" applyProtection="1"/>
    <xf numFmtId="49" fontId="0" fillId="7" borderId="0" xfId="0" applyNumberFormat="1" applyFill="1" applyProtection="1"/>
    <xf numFmtId="49" fontId="3" fillId="4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NumberFormat="1" applyFill="1" applyAlignment="1" applyProtection="1">
      <alignment horizontal="center"/>
      <protection locked="0"/>
    </xf>
    <xf numFmtId="0" fontId="0" fillId="10" borderId="0" xfId="0" applyNumberFormat="1" applyFill="1" applyAlignment="1" applyProtection="1">
      <alignment horizontal="center"/>
    </xf>
    <xf numFmtId="0" fontId="0" fillId="0" borderId="0" xfId="0" applyNumberFormat="1" applyProtection="1"/>
    <xf numFmtId="0" fontId="0" fillId="0" borderId="0" xfId="0" applyNumberFormat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Protection="1">
      <protection locked="0"/>
    </xf>
    <xf numFmtId="0" fontId="0" fillId="10" borderId="0" xfId="0" applyNumberFormat="1" applyFill="1" applyAlignment="1" applyProtection="1">
      <alignment horizontal="center"/>
      <protection locked="0"/>
    </xf>
    <xf numFmtId="0" fontId="0" fillId="0" borderId="0" xfId="0" applyNumberFormat="1" applyFill="1" applyProtection="1"/>
    <xf numFmtId="0" fontId="0" fillId="0" borderId="0" xfId="0" applyNumberFormat="1" applyFill="1" applyProtection="1">
      <protection locked="0"/>
    </xf>
    <xf numFmtId="49" fontId="0" fillId="6" borderId="0" xfId="0" applyNumberFormat="1" applyFill="1" applyAlignment="1" applyProtection="1">
      <alignment horizontal="center"/>
    </xf>
    <xf numFmtId="1" fontId="0" fillId="0" borderId="0" xfId="0" applyNumberFormat="1" applyProtection="1">
      <protection locked="0"/>
    </xf>
    <xf numFmtId="14" fontId="0" fillId="10" borderId="0" xfId="0" applyNumberFormat="1" applyFill="1" applyProtection="1"/>
    <xf numFmtId="14" fontId="0" fillId="10" borderId="0" xfId="0" applyNumberFormat="1" applyFill="1" applyAlignment="1" applyProtection="1">
      <alignment horizontal="center"/>
    </xf>
    <xf numFmtId="49" fontId="0" fillId="11" borderId="0" xfId="0" applyNumberFormat="1" applyFill="1" applyProtection="1">
      <protection locked="0"/>
    </xf>
    <xf numFmtId="49" fontId="0" fillId="9" borderId="0" xfId="0" applyNumberFormat="1" applyFill="1" applyProtection="1">
      <protection locked="0"/>
    </xf>
    <xf numFmtId="14" fontId="6" fillId="0" borderId="0" xfId="0" applyNumberFormat="1" applyFont="1" applyFill="1" applyProtection="1">
      <protection locked="0"/>
    </xf>
    <xf numFmtId="14" fontId="0" fillId="0" borderId="0" xfId="0" applyNumberFormat="1" applyProtection="1"/>
    <xf numFmtId="49" fontId="2" fillId="0" borderId="0" xfId="0" applyNumberFormat="1" applyFont="1" applyAlignment="1" applyProtection="1">
      <alignment horizontal="center"/>
    </xf>
    <xf numFmtId="49" fontId="1" fillId="2" borderId="4" xfId="0" applyNumberFormat="1" applyFont="1" applyFill="1" applyBorder="1" applyAlignment="1" applyProtection="1">
      <alignment horizontal="center" vertical="center" wrapText="1"/>
    </xf>
    <xf numFmtId="49" fontId="1" fillId="2" borderId="5" xfId="0" applyNumberFormat="1" applyFont="1" applyFill="1" applyBorder="1" applyAlignment="1" applyProtection="1">
      <alignment horizontal="center" vertical="center" wrapText="1"/>
    </xf>
    <xf numFmtId="49" fontId="1" fillId="2" borderId="6" xfId="0" applyNumberFormat="1" applyFont="1" applyFill="1" applyBorder="1" applyAlignment="1" applyProtection="1">
      <alignment horizontal="center" vertical="center" wrapText="1"/>
    </xf>
    <xf numFmtId="49" fontId="0" fillId="8" borderId="4" xfId="0" applyNumberFormat="1" applyFill="1" applyBorder="1" applyAlignment="1" applyProtection="1">
      <alignment horizontal="center" wrapText="1"/>
    </xf>
    <xf numFmtId="49" fontId="0" fillId="8" borderId="7" xfId="0" applyNumberFormat="1" applyFill="1" applyBorder="1" applyAlignment="1" applyProtection="1">
      <alignment horizontal="center" wrapText="1"/>
    </xf>
    <xf numFmtId="49" fontId="0" fillId="8" borderId="6" xfId="0" applyNumberFormat="1" applyFill="1" applyBorder="1" applyAlignment="1" applyProtection="1">
      <alignment horizontal="center" wrapText="1"/>
    </xf>
    <xf numFmtId="49" fontId="0" fillId="8" borderId="8" xfId="0" applyNumberFormat="1" applyFill="1" applyBorder="1" applyAlignment="1" applyProtection="1">
      <alignment horizontal="center" wrapText="1"/>
    </xf>
    <xf numFmtId="0" fontId="0" fillId="4" borderId="0" xfId="0" applyNumberFormat="1" applyFill="1" applyAlignment="1" applyProtection="1">
      <alignment horizontal="center" textRotation="90"/>
    </xf>
    <xf numFmtId="0" fontId="5" fillId="0" borderId="0" xfId="0" applyNumberFormat="1" applyFont="1" applyAlignment="1" applyProtection="1">
      <alignment horizontal="center"/>
    </xf>
    <xf numFmtId="49" fontId="1" fillId="3" borderId="1" xfId="0" applyNumberFormat="1" applyFont="1" applyFill="1" applyBorder="1" applyAlignment="1" applyProtection="1">
      <alignment horizontal="center" vertical="center" textRotation="90" wrapText="1"/>
    </xf>
    <xf numFmtId="49" fontId="1" fillId="3" borderId="2" xfId="0" applyNumberFormat="1" applyFont="1" applyFill="1" applyBorder="1" applyAlignment="1" applyProtection="1">
      <alignment horizontal="center" vertical="center" textRotation="90" wrapText="1"/>
    </xf>
    <xf numFmtId="49" fontId="1" fillId="3" borderId="3" xfId="0" applyNumberFormat="1" applyFont="1" applyFill="1" applyBorder="1" applyAlignment="1" applyProtection="1">
      <alignment horizontal="center" vertical="center" textRotation="90" wrapText="1"/>
    </xf>
    <xf numFmtId="49" fontId="0" fillId="4" borderId="0" xfId="0" applyNumberFormat="1" applyFill="1" applyAlignment="1" applyProtection="1">
      <alignment horizontal="center"/>
    </xf>
    <xf numFmtId="49" fontId="1" fillId="2" borderId="1" xfId="0" applyNumberFormat="1" applyFont="1" applyFill="1" applyBorder="1" applyAlignment="1" applyProtection="1">
      <alignment horizontal="center" vertical="center" wrapText="1"/>
    </xf>
    <xf numFmtId="49" fontId="1" fillId="2" borderId="2" xfId="0" applyNumberFormat="1" applyFont="1" applyFill="1" applyBorder="1" applyAlignment="1" applyProtection="1">
      <alignment horizontal="center" vertical="center" wrapText="1"/>
    </xf>
    <xf numFmtId="49" fontId="1" fillId="2" borderId="3" xfId="0" applyNumberFormat="1" applyFont="1" applyFill="1" applyBorder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P$34" lockText="1" noThreeD="1"/>
</file>

<file path=xl/ctrlProps/ctrlProp2.xml><?xml version="1.0" encoding="utf-8"?>
<formControlPr xmlns="http://schemas.microsoft.com/office/spreadsheetml/2009/9/main" objectType="CheckBox" checked="Checked" fmlaLink="$P$40" lockText="1" noThreeD="1"/>
</file>

<file path=xl/ctrlProps/ctrlProp3.xml><?xml version="1.0" encoding="utf-8"?>
<formControlPr xmlns="http://schemas.microsoft.com/office/spreadsheetml/2009/9/main" objectType="CheckBox" checked="Checked" fmlaLink="$P$46" lockText="1" noThreeD="1"/>
</file>

<file path=xl/ctrlProps/ctrlProp4.xml><?xml version="1.0" encoding="utf-8"?>
<formControlPr xmlns="http://schemas.microsoft.com/office/spreadsheetml/2009/9/main" objectType="CheckBox" checked="Checked" fmlaLink="$P$52" lockText="1" noThreeD="1"/>
</file>

<file path=xl/ctrlProps/ctrlProp5.xml><?xml version="1.0" encoding="utf-8"?>
<formControlPr xmlns="http://schemas.microsoft.com/office/spreadsheetml/2009/9/main" objectType="CheckBox" checked="Checked" fmlaLink="$P$58" lockText="1" noThreeD="1"/>
</file>

<file path=xl/ctrlProps/ctrlProp6.xml><?xml version="1.0" encoding="utf-8"?>
<formControlPr xmlns="http://schemas.microsoft.com/office/spreadsheetml/2009/9/main" objectType="CheckBox" checked="Checked" fmlaLink="$P$64" lockText="1" noThreeD="1"/>
</file>

<file path=xl/ctrlProps/ctrlProp7.xml><?xml version="1.0" encoding="utf-8"?>
<formControlPr xmlns="http://schemas.microsoft.com/office/spreadsheetml/2009/9/main" objectType="CheckBox" checked="Checked" fmlaLink="$P$70" lockText="1" noThreeD="1"/>
</file>

<file path=xl/ctrlProps/ctrlProp8.xml><?xml version="1.0" encoding="utf-8"?>
<formControlPr xmlns="http://schemas.microsoft.com/office/spreadsheetml/2009/9/main" objectType="CheckBox" checked="Checked" fmlaLink="$P$76" lockText="1" noThreeD="1"/>
</file>

<file path=xl/ctrlProps/ctrlProp9.xml><?xml version="1.0" encoding="utf-8"?>
<formControlPr xmlns="http://schemas.microsoft.com/office/spreadsheetml/2009/9/main" objectType="CheckBox" checked="Checked" fmlaLink="$P$83" lockText="1" noThreeD="1"/>
</file>

<file path=xl/ctrlProps/ctrlProp10.xml><?xml version="1.0" encoding="utf-8"?>
<formControlPr xmlns="http://schemas.microsoft.com/office/spreadsheetml/2009/9/main" objectType="CheckBox" checked="Checked" fmlaLink="$P$91" lockText="1" noThreeD="1"/>
</file>

<file path=xl/ctrlProps/ctrlProp11.xml><?xml version="1.0" encoding="utf-8"?>
<formControlPr xmlns="http://schemas.microsoft.com/office/spreadsheetml/2009/9/main" objectType="CheckBox" checked="Checked" fmlaLink="$P$174" lockText="1" noThreeD="1"/>
</file>

<file path=xl/ctrlProps/ctrlProp12.xml><?xml version="1.0" encoding="utf-8"?>
<formControlPr xmlns="http://schemas.microsoft.com/office/spreadsheetml/2009/9/main" objectType="CheckBox" checked="Checked" fmlaLink="$P$182" lockText="1" noThreeD="1"/>
</file>

<file path=xl/ctrlProps/ctrlProp13.xml><?xml version="1.0" encoding="utf-8"?>
<formControlPr xmlns="http://schemas.microsoft.com/office/spreadsheetml/2009/9/main" objectType="CheckBox" fmlaLink="$P$186" lockText="1" noThreeD="1"/>
</file>

<file path=xl/ctrlProps/ctrlProp14.xml><?xml version="1.0" encoding="utf-8"?>
<formControlPr xmlns="http://schemas.microsoft.com/office/spreadsheetml/2009/9/main" objectType="CheckBox" checked="Checked" fmlaLink="$P$84" lockText="1" noThreeD="1"/>
</file>

<file path=xl/ctrlProps/ctrlProp15.xml><?xml version="1.0" encoding="utf-8"?>
<formControlPr xmlns="http://schemas.microsoft.com/office/spreadsheetml/2009/9/main" objectType="CheckBox" checked="Checked" fmlaLink="$P$85" lockText="1" noThreeD="1"/>
</file>

<file path=xl/ctrlProps/ctrlProp16.xml><?xml version="1.0" encoding="utf-8"?>
<formControlPr xmlns="http://schemas.microsoft.com/office/spreadsheetml/2009/9/main" objectType="CheckBox" checked="Checked" fmlaLink="$P$86" lockText="1" noThreeD="1"/>
</file>

<file path=xl/ctrlProps/ctrlProp17.xml><?xml version="1.0" encoding="utf-8"?>
<formControlPr xmlns="http://schemas.microsoft.com/office/spreadsheetml/2009/9/main" objectType="CheckBox" checked="Checked" fmlaLink="$P$87" lockText="1" noThreeD="1"/>
</file>

<file path=xl/ctrlProps/ctrlProp18.xml><?xml version="1.0" encoding="utf-8"?>
<formControlPr xmlns="http://schemas.microsoft.com/office/spreadsheetml/2009/9/main" objectType="CheckBox" checked="Checked" fmlaLink="$P$88" lockText="1" noThreeD="1"/>
</file>

<file path=xl/ctrlProps/ctrlProp19.xml><?xml version="1.0" encoding="utf-8"?>
<formControlPr xmlns="http://schemas.microsoft.com/office/spreadsheetml/2009/9/main" objectType="CheckBox" checked="Checked" fmlaLink="$P$89" lockText="1" noThreeD="1"/>
</file>

<file path=xl/ctrlProps/ctrlProp20.xml><?xml version="1.0" encoding="utf-8"?>
<formControlPr xmlns="http://schemas.microsoft.com/office/spreadsheetml/2009/9/main" objectType="CheckBox" checked="Checked" fmlaLink="$P$90" lockText="1" noThreeD="1"/>
</file>

<file path=xl/ctrlProps/ctrlProp21.xml><?xml version="1.0" encoding="utf-8"?>
<formControlPr xmlns="http://schemas.microsoft.com/office/spreadsheetml/2009/9/main" objectType="CheckBox" checked="Checked" fmlaLink="$P$92" lockText="1" noThreeD="1"/>
</file>

<file path=xl/ctrlProps/ctrlProp22.xml><?xml version="1.0" encoding="utf-8"?>
<formControlPr xmlns="http://schemas.microsoft.com/office/spreadsheetml/2009/9/main" objectType="CheckBox" checked="Checked" fmlaLink="$P$93" lockText="1" noThreeD="1"/>
</file>

<file path=xl/ctrlProps/ctrlProp23.xml><?xml version="1.0" encoding="utf-8"?>
<formControlPr xmlns="http://schemas.microsoft.com/office/spreadsheetml/2009/9/main" objectType="CheckBox" fmlaLink="$P$94" lockText="1" noThreeD="1"/>
</file>

<file path=xl/ctrlProps/ctrlProp24.xml><?xml version="1.0" encoding="utf-8"?>
<formControlPr xmlns="http://schemas.microsoft.com/office/spreadsheetml/2009/9/main" objectType="CheckBox" checked="Checked" fmlaLink="$P$95" lockText="1" noThreeD="1"/>
</file>

<file path=xl/ctrlProps/ctrlProp25.xml><?xml version="1.0" encoding="utf-8"?>
<formControlPr xmlns="http://schemas.microsoft.com/office/spreadsheetml/2009/9/main" objectType="CheckBox" checked="Checked" fmlaLink="$P$99" lockText="1" noThreeD="1"/>
</file>

<file path=xl/ctrlProps/ctrlProp26.xml><?xml version="1.0" encoding="utf-8"?>
<formControlPr xmlns="http://schemas.microsoft.com/office/spreadsheetml/2009/9/main" objectType="CheckBox" checked="Checked" fmlaLink="$P$98" lockText="1" noThreeD="1"/>
</file>

<file path=xl/ctrlProps/ctrlProp27.xml><?xml version="1.0" encoding="utf-8"?>
<formControlPr xmlns="http://schemas.microsoft.com/office/spreadsheetml/2009/9/main" objectType="CheckBox" checked="Checked" fmlaLink="$P$100" lockText="1" noThreeD="1"/>
</file>

<file path=xl/ctrlProps/ctrlProp28.xml><?xml version="1.0" encoding="utf-8"?>
<formControlPr xmlns="http://schemas.microsoft.com/office/spreadsheetml/2009/9/main" objectType="CheckBox" checked="Checked" fmlaLink="$P$101" lockText="1" noThreeD="1"/>
</file>

<file path=xl/ctrlProps/ctrlProp29.xml><?xml version="1.0" encoding="utf-8"?>
<formControlPr xmlns="http://schemas.microsoft.com/office/spreadsheetml/2009/9/main" objectType="CheckBox" checked="Checked" fmlaLink="$P$102" lockText="1" noThreeD="1"/>
</file>

<file path=xl/ctrlProps/ctrlProp30.xml><?xml version="1.0" encoding="utf-8"?>
<formControlPr xmlns="http://schemas.microsoft.com/office/spreadsheetml/2009/9/main" objectType="CheckBox" checked="Checked" fmlaLink="$P$103" lockText="1" noThreeD="1"/>
</file>

<file path=xl/ctrlProps/ctrlProp31.xml><?xml version="1.0" encoding="utf-8"?>
<formControlPr xmlns="http://schemas.microsoft.com/office/spreadsheetml/2009/9/main" objectType="CheckBox" checked="Checked" fmlaLink="$P$104" lockText="1" noThreeD="1"/>
</file>

<file path=xl/ctrlProps/ctrlProp32.xml><?xml version="1.0" encoding="utf-8"?>
<formControlPr xmlns="http://schemas.microsoft.com/office/spreadsheetml/2009/9/main" objectType="CheckBox" checked="Checked" fmlaLink="$P$105" lockText="1" noThreeD="1"/>
</file>

<file path=xl/ctrlProps/ctrlProp33.xml><?xml version="1.0" encoding="utf-8"?>
<formControlPr xmlns="http://schemas.microsoft.com/office/spreadsheetml/2009/9/main" objectType="CheckBox" checked="Checked" fmlaLink="$P$106" lockText="1" noThreeD="1"/>
</file>

<file path=xl/ctrlProps/ctrlProp34.xml><?xml version="1.0" encoding="utf-8"?>
<formControlPr xmlns="http://schemas.microsoft.com/office/spreadsheetml/2009/9/main" objectType="CheckBox" fmlaLink="$P$107" lockText="1" noThreeD="1"/>
</file>

<file path=xl/ctrlProps/ctrlProp35.xml><?xml version="1.0" encoding="utf-8"?>
<formControlPr xmlns="http://schemas.microsoft.com/office/spreadsheetml/2009/9/main" objectType="CheckBox" checked="Checked" fmlaLink="$P$108" lockText="1" noThreeD="1"/>
</file>

<file path=xl/ctrlProps/ctrlProp36.xml><?xml version="1.0" encoding="utf-8"?>
<formControlPr xmlns="http://schemas.microsoft.com/office/spreadsheetml/2009/9/main" objectType="CheckBox" checked="Checked" fmlaLink="$P$109" lockText="1" noThreeD="1"/>
</file>

<file path=xl/ctrlProps/ctrlProp37.xml><?xml version="1.0" encoding="utf-8"?>
<formControlPr xmlns="http://schemas.microsoft.com/office/spreadsheetml/2009/9/main" objectType="CheckBox" checked="Checked" fmlaLink="$P$110" lockText="1" noThreeD="1"/>
</file>

<file path=xl/ctrlProps/ctrlProp38.xml><?xml version="1.0" encoding="utf-8"?>
<formControlPr xmlns="http://schemas.microsoft.com/office/spreadsheetml/2009/9/main" objectType="CheckBox" checked="Checked" fmlaLink="$P$111" lockText="1" noThreeD="1"/>
</file>

<file path=xl/ctrlProps/ctrlProp39.xml><?xml version="1.0" encoding="utf-8"?>
<formControlPr xmlns="http://schemas.microsoft.com/office/spreadsheetml/2009/9/main" objectType="CheckBox" checked="Checked" fmlaLink="$P$112" lockText="1" noThreeD="1"/>
</file>

<file path=xl/ctrlProps/ctrlProp40.xml><?xml version="1.0" encoding="utf-8"?>
<formControlPr xmlns="http://schemas.microsoft.com/office/spreadsheetml/2009/9/main" objectType="CheckBox" checked="Checked" fmlaLink="$P$113" lockText="1" noThreeD="1"/>
</file>

<file path=xl/ctrlProps/ctrlProp41.xml><?xml version="1.0" encoding="utf-8"?>
<formControlPr xmlns="http://schemas.microsoft.com/office/spreadsheetml/2009/9/main" objectType="CheckBox" checked="Checked" fmlaLink="$P$114" lockText="1" noThreeD="1"/>
</file>

<file path=xl/ctrlProps/ctrlProp42.xml><?xml version="1.0" encoding="utf-8"?>
<formControlPr xmlns="http://schemas.microsoft.com/office/spreadsheetml/2009/9/main" objectType="CheckBox" checked="Checked" fmlaLink="$P$115" lockText="1" noThreeD="1"/>
</file>

<file path=xl/ctrlProps/ctrlProp43.xml><?xml version="1.0" encoding="utf-8"?>
<formControlPr xmlns="http://schemas.microsoft.com/office/spreadsheetml/2009/9/main" objectType="CheckBox" checked="Checked" fmlaLink="$P$116" lockText="1" noThreeD="1"/>
</file>

<file path=xl/ctrlProps/ctrlProp44.xml><?xml version="1.0" encoding="utf-8"?>
<formControlPr xmlns="http://schemas.microsoft.com/office/spreadsheetml/2009/9/main" objectType="CheckBox" checked="Checked" fmlaLink="$P$117" lockText="1" noThreeD="1"/>
</file>

<file path=xl/ctrlProps/ctrlProp45.xml><?xml version="1.0" encoding="utf-8"?>
<formControlPr xmlns="http://schemas.microsoft.com/office/spreadsheetml/2009/9/main" objectType="CheckBox" checked="Checked" fmlaLink="$P$118" lockText="1" noThreeD="1"/>
</file>

<file path=xl/ctrlProps/ctrlProp46.xml><?xml version="1.0" encoding="utf-8"?>
<formControlPr xmlns="http://schemas.microsoft.com/office/spreadsheetml/2009/9/main" objectType="CheckBox" checked="Checked" fmlaLink="$P$119" lockText="1" noThreeD="1"/>
</file>

<file path=xl/ctrlProps/ctrlProp47.xml><?xml version="1.0" encoding="utf-8"?>
<formControlPr xmlns="http://schemas.microsoft.com/office/spreadsheetml/2009/9/main" objectType="CheckBox" checked="Checked" fmlaLink="$P$120" lockText="1" noThreeD="1"/>
</file>

<file path=xl/ctrlProps/ctrlProp48.xml><?xml version="1.0" encoding="utf-8"?>
<formControlPr xmlns="http://schemas.microsoft.com/office/spreadsheetml/2009/9/main" objectType="CheckBox" checked="Checked" fmlaLink="$P$121" lockText="1" noThreeD="1"/>
</file>

<file path=xl/ctrlProps/ctrlProp49.xml><?xml version="1.0" encoding="utf-8"?>
<formControlPr xmlns="http://schemas.microsoft.com/office/spreadsheetml/2009/9/main" objectType="CheckBox" checked="Checked" fmlaLink="$P$122" lockText="1" noThreeD="1"/>
</file>

<file path=xl/ctrlProps/ctrlProp50.xml><?xml version="1.0" encoding="utf-8"?>
<formControlPr xmlns="http://schemas.microsoft.com/office/spreadsheetml/2009/9/main" objectType="CheckBox" checked="Checked" fmlaLink="$P$123" lockText="1" noThreeD="1"/>
</file>

<file path=xl/ctrlProps/ctrlProp51.xml><?xml version="1.0" encoding="utf-8"?>
<formControlPr xmlns="http://schemas.microsoft.com/office/spreadsheetml/2009/9/main" objectType="CheckBox" checked="Checked" fmlaLink="$P$124" lockText="1" noThreeD="1"/>
</file>

<file path=xl/ctrlProps/ctrlProp52.xml><?xml version="1.0" encoding="utf-8"?>
<formControlPr xmlns="http://schemas.microsoft.com/office/spreadsheetml/2009/9/main" objectType="CheckBox" checked="Checked" fmlaLink="$P$125" lockText="1" noThreeD="1"/>
</file>

<file path=xl/ctrlProps/ctrlProp53.xml><?xml version="1.0" encoding="utf-8"?>
<formControlPr xmlns="http://schemas.microsoft.com/office/spreadsheetml/2009/9/main" objectType="CheckBox" checked="Checked" fmlaLink="$P$126" lockText="1" noThreeD="1"/>
</file>

<file path=xl/ctrlProps/ctrlProp54.xml><?xml version="1.0" encoding="utf-8"?>
<formControlPr xmlns="http://schemas.microsoft.com/office/spreadsheetml/2009/9/main" objectType="CheckBox" checked="Checked" fmlaLink="$P$127" lockText="1" noThreeD="1"/>
</file>

<file path=xl/ctrlProps/ctrlProp55.xml><?xml version="1.0" encoding="utf-8"?>
<formControlPr xmlns="http://schemas.microsoft.com/office/spreadsheetml/2009/9/main" objectType="CheckBox" checked="Checked" fmlaLink="$P$128" lockText="1" noThreeD="1"/>
</file>

<file path=xl/ctrlProps/ctrlProp56.xml><?xml version="1.0" encoding="utf-8"?>
<formControlPr xmlns="http://schemas.microsoft.com/office/spreadsheetml/2009/9/main" objectType="CheckBox" checked="Checked" fmlaLink="$P$129" lockText="1" noThreeD="1"/>
</file>

<file path=xl/ctrlProps/ctrlProp57.xml><?xml version="1.0" encoding="utf-8"?>
<formControlPr xmlns="http://schemas.microsoft.com/office/spreadsheetml/2009/9/main" objectType="CheckBox" checked="Checked" fmlaLink="$P$130" lockText="1" noThreeD="1"/>
</file>

<file path=xl/ctrlProps/ctrlProp58.xml><?xml version="1.0" encoding="utf-8"?>
<formControlPr xmlns="http://schemas.microsoft.com/office/spreadsheetml/2009/9/main" objectType="CheckBox" checked="Checked" fmlaLink="$P$131" lockText="1" noThreeD="1"/>
</file>

<file path=xl/ctrlProps/ctrlProp59.xml><?xml version="1.0" encoding="utf-8"?>
<formControlPr xmlns="http://schemas.microsoft.com/office/spreadsheetml/2009/9/main" objectType="CheckBox" checked="Checked" fmlaLink="$P$133" lockText="1" noThreeD="1"/>
</file>

<file path=xl/ctrlProps/ctrlProp60.xml><?xml version="1.0" encoding="utf-8"?>
<formControlPr xmlns="http://schemas.microsoft.com/office/spreadsheetml/2009/9/main" objectType="CheckBox" checked="Checked" fmlaLink="$P$134" lockText="1" noThreeD="1"/>
</file>

<file path=xl/ctrlProps/ctrlProp61.xml><?xml version="1.0" encoding="utf-8"?>
<formControlPr xmlns="http://schemas.microsoft.com/office/spreadsheetml/2009/9/main" objectType="CheckBox" checked="Checked" fmlaLink="$P$135" lockText="1" noThreeD="1"/>
</file>

<file path=xl/ctrlProps/ctrlProp62.xml><?xml version="1.0" encoding="utf-8"?>
<formControlPr xmlns="http://schemas.microsoft.com/office/spreadsheetml/2009/9/main" objectType="CheckBox" checked="Checked" fmlaLink="$P$136" lockText="1" noThreeD="1"/>
</file>

<file path=xl/ctrlProps/ctrlProp63.xml><?xml version="1.0" encoding="utf-8"?>
<formControlPr xmlns="http://schemas.microsoft.com/office/spreadsheetml/2009/9/main" objectType="CheckBox" checked="Checked" fmlaLink="$P$132" lockText="1" noThreeD="1"/>
</file>

<file path=xl/ctrlProps/ctrlProp64.xml><?xml version="1.0" encoding="utf-8"?>
<formControlPr xmlns="http://schemas.microsoft.com/office/spreadsheetml/2009/9/main" objectType="CheckBox" checked="Checked" fmlaLink="$P$137" lockText="1" noThreeD="1"/>
</file>

<file path=xl/ctrlProps/ctrlProp65.xml><?xml version="1.0" encoding="utf-8"?>
<formControlPr xmlns="http://schemas.microsoft.com/office/spreadsheetml/2009/9/main" objectType="CheckBox" checked="Checked" fmlaLink="$P$138" lockText="1" noThreeD="1"/>
</file>

<file path=xl/ctrlProps/ctrlProp66.xml><?xml version="1.0" encoding="utf-8"?>
<formControlPr xmlns="http://schemas.microsoft.com/office/spreadsheetml/2009/9/main" objectType="CheckBox" checked="Checked" fmlaLink="$P$139" lockText="1" noThreeD="1"/>
</file>

<file path=xl/ctrlProps/ctrlProp67.xml><?xml version="1.0" encoding="utf-8"?>
<formControlPr xmlns="http://schemas.microsoft.com/office/spreadsheetml/2009/9/main" objectType="CheckBox" checked="Checked" fmlaLink="$P$140" lockText="1" noThreeD="1"/>
</file>

<file path=xl/ctrlProps/ctrlProp68.xml><?xml version="1.0" encoding="utf-8"?>
<formControlPr xmlns="http://schemas.microsoft.com/office/spreadsheetml/2009/9/main" objectType="CheckBox" checked="Checked" fmlaLink="$P$141" lockText="1" noThreeD="1"/>
</file>

<file path=xl/ctrlProps/ctrlProp69.xml><?xml version="1.0" encoding="utf-8"?>
<formControlPr xmlns="http://schemas.microsoft.com/office/spreadsheetml/2009/9/main" objectType="CheckBox" checked="Checked" fmlaLink="$P$142" lockText="1" noThreeD="1"/>
</file>

<file path=xl/ctrlProps/ctrlProp70.xml><?xml version="1.0" encoding="utf-8"?>
<formControlPr xmlns="http://schemas.microsoft.com/office/spreadsheetml/2009/9/main" objectType="CheckBox" checked="Checked" fmlaLink="$P$143" lockText="1" noThreeD="1"/>
</file>

<file path=xl/ctrlProps/ctrlProp71.xml><?xml version="1.0" encoding="utf-8"?>
<formControlPr xmlns="http://schemas.microsoft.com/office/spreadsheetml/2009/9/main" objectType="CheckBox" checked="Checked" fmlaLink="$P$144" lockText="1" noThreeD="1"/>
</file>

<file path=xl/ctrlProps/ctrlProp72.xml><?xml version="1.0" encoding="utf-8"?>
<formControlPr xmlns="http://schemas.microsoft.com/office/spreadsheetml/2009/9/main" objectType="CheckBox" fmlaLink="$P$145" lockText="1" noThreeD="1"/>
</file>

<file path=xl/ctrlProps/ctrlProp73.xml><?xml version="1.0" encoding="utf-8"?>
<formControlPr xmlns="http://schemas.microsoft.com/office/spreadsheetml/2009/9/main" objectType="CheckBox" checked="Checked" fmlaLink="$P$146" lockText="1" noThreeD="1"/>
</file>

<file path=xl/ctrlProps/ctrlProp74.xml><?xml version="1.0" encoding="utf-8"?>
<formControlPr xmlns="http://schemas.microsoft.com/office/spreadsheetml/2009/9/main" objectType="CheckBox" checked="Checked" fmlaLink="$P$147" lockText="1" noThreeD="1"/>
</file>

<file path=xl/ctrlProps/ctrlProp75.xml><?xml version="1.0" encoding="utf-8"?>
<formControlPr xmlns="http://schemas.microsoft.com/office/spreadsheetml/2009/9/main" objectType="CheckBox" checked="Checked" fmlaLink="$P$148" lockText="1" noThreeD="1"/>
</file>

<file path=xl/ctrlProps/ctrlProp76.xml><?xml version="1.0" encoding="utf-8"?>
<formControlPr xmlns="http://schemas.microsoft.com/office/spreadsheetml/2009/9/main" objectType="CheckBox" checked="Checked" fmlaLink="$P$149" lockText="1" noThreeD="1"/>
</file>

<file path=xl/ctrlProps/ctrlProp77.xml><?xml version="1.0" encoding="utf-8"?>
<formControlPr xmlns="http://schemas.microsoft.com/office/spreadsheetml/2009/9/main" objectType="CheckBox" checked="Checked" fmlaLink="$P$150" lockText="1" noThreeD="1"/>
</file>

<file path=xl/ctrlProps/ctrlProp78.xml><?xml version="1.0" encoding="utf-8"?>
<formControlPr xmlns="http://schemas.microsoft.com/office/spreadsheetml/2009/9/main" objectType="CheckBox" checked="Checked" fmlaLink="$P$151" lockText="1" noThreeD="1"/>
</file>

<file path=xl/ctrlProps/ctrlProp79.xml><?xml version="1.0" encoding="utf-8"?>
<formControlPr xmlns="http://schemas.microsoft.com/office/spreadsheetml/2009/9/main" objectType="CheckBox" checked="Checked" fmlaLink="$P$152" lockText="1" noThreeD="1"/>
</file>

<file path=xl/ctrlProps/ctrlProp80.xml><?xml version="1.0" encoding="utf-8"?>
<formControlPr xmlns="http://schemas.microsoft.com/office/spreadsheetml/2009/9/main" objectType="CheckBox" checked="Checked" fmlaLink="$P$153" lockText="1" noThreeD="1"/>
</file>

<file path=xl/ctrlProps/ctrlProp81.xml><?xml version="1.0" encoding="utf-8"?>
<formControlPr xmlns="http://schemas.microsoft.com/office/spreadsheetml/2009/9/main" objectType="CheckBox" checked="Checked" fmlaLink="$P$154" lockText="1" noThreeD="1"/>
</file>

<file path=xl/ctrlProps/ctrlProp82.xml><?xml version="1.0" encoding="utf-8"?>
<formControlPr xmlns="http://schemas.microsoft.com/office/spreadsheetml/2009/9/main" objectType="CheckBox" fmlaLink="$P$161" lockText="1" noThreeD="1"/>
</file>

<file path=xl/ctrlProps/ctrlProp83.xml><?xml version="1.0" encoding="utf-8"?>
<formControlPr xmlns="http://schemas.microsoft.com/office/spreadsheetml/2009/9/main" objectType="CheckBox" checked="Checked" fmlaLink="$P$155" lockText="1" noThreeD="1"/>
</file>

<file path=xl/ctrlProps/ctrlProp84.xml><?xml version="1.0" encoding="utf-8"?>
<formControlPr xmlns="http://schemas.microsoft.com/office/spreadsheetml/2009/9/main" objectType="CheckBox" checked="Checked" fmlaLink="$P$156" lockText="1" noThreeD="1"/>
</file>

<file path=xl/ctrlProps/ctrlProp85.xml><?xml version="1.0" encoding="utf-8"?>
<formControlPr xmlns="http://schemas.microsoft.com/office/spreadsheetml/2009/9/main" objectType="CheckBox" checked="Checked" fmlaLink="$P$157" lockText="1" noThreeD="1"/>
</file>

<file path=xl/ctrlProps/ctrlProp86.xml><?xml version="1.0" encoding="utf-8"?>
<formControlPr xmlns="http://schemas.microsoft.com/office/spreadsheetml/2009/9/main" objectType="CheckBox" checked="Checked" fmlaLink="$P$158" lockText="1" noThreeD="1"/>
</file>

<file path=xl/ctrlProps/ctrlProp87.xml><?xml version="1.0" encoding="utf-8"?>
<formControlPr xmlns="http://schemas.microsoft.com/office/spreadsheetml/2009/9/main" objectType="CheckBox" checked="Checked" fmlaLink="$P$159" lockText="1" noThreeD="1"/>
</file>

<file path=xl/ctrlProps/ctrlProp88.xml><?xml version="1.0" encoding="utf-8"?>
<formControlPr xmlns="http://schemas.microsoft.com/office/spreadsheetml/2009/9/main" objectType="CheckBox" checked="Checked" fmlaLink="$P$160" lockText="1" noThreeD="1"/>
</file>

<file path=xl/ctrlProps/ctrlProp89.xml><?xml version="1.0" encoding="utf-8"?>
<formControlPr xmlns="http://schemas.microsoft.com/office/spreadsheetml/2009/9/main" objectType="CheckBox" fmlaLink="$P$162" lockText="1" noThreeD="1"/>
</file>

<file path=xl/ctrlProps/ctrlProp90.xml><?xml version="1.0" encoding="utf-8"?>
<formControlPr xmlns="http://schemas.microsoft.com/office/spreadsheetml/2009/9/main" objectType="CheckBox" fmlaLink="$P$163" lockText="1" noThreeD="1"/>
</file>

<file path=xl/ctrlProps/ctrlProp91.xml><?xml version="1.0" encoding="utf-8"?>
<formControlPr xmlns="http://schemas.microsoft.com/office/spreadsheetml/2009/9/main" objectType="CheckBox" fmlaLink="$P$164" lockText="1" noThreeD="1"/>
</file>

<file path=xl/ctrlProps/ctrlProp92.xml><?xml version="1.0" encoding="utf-8"?>
<formControlPr xmlns="http://schemas.microsoft.com/office/spreadsheetml/2009/9/main" objectType="CheckBox" fmlaLink="$P$165" lockText="1" noThreeD="1"/>
</file>

<file path=xl/ctrlProps/ctrlProp93.xml><?xml version="1.0" encoding="utf-8"?>
<formControlPr xmlns="http://schemas.microsoft.com/office/spreadsheetml/2009/9/main" objectType="CheckBox" fmlaLink="$P$166" lockText="1" noThreeD="1"/>
</file>

<file path=xl/ctrlProps/ctrlProp94.xml><?xml version="1.0" encoding="utf-8"?>
<formControlPr xmlns="http://schemas.microsoft.com/office/spreadsheetml/2009/9/main" objectType="CheckBox" fmlaLink="$P$167" lockText="1" noThreeD="1"/>
</file>

<file path=xl/ctrlProps/ctrlProp95.xml><?xml version="1.0" encoding="utf-8"?>
<formControlPr xmlns="http://schemas.microsoft.com/office/spreadsheetml/2009/9/main" objectType="CheckBox" fmlaLink="$P$168" lockText="1" noThreeD="1"/>
</file>

<file path=xl/ctrlProps/ctrlProp96.xml><?xml version="1.0" encoding="utf-8"?>
<formControlPr xmlns="http://schemas.microsoft.com/office/spreadsheetml/2009/9/main" objectType="CheckBox" fmlaLink="$P$169" lockText="1" noThreeD="1"/>
</file>

<file path=xl/ctrlProps/ctrlProp97.xml><?xml version="1.0" encoding="utf-8"?>
<formControlPr xmlns="http://schemas.microsoft.com/office/spreadsheetml/2009/9/main" objectType="CheckBox" fmlaLink="$P$170" lockText="1" noThreeD="1"/>
</file>

<file path=xl/ctrlProps/ctrlProp98.xml><?xml version="1.0" encoding="utf-8"?>
<formControlPr xmlns="http://schemas.microsoft.com/office/spreadsheetml/2009/9/main" objectType="CheckBox" fmlaLink="$P$171" lockText="1" noThreeD="1"/>
</file>

<file path=xl/ctrlProps/ctrlProp99.xml><?xml version="1.0" encoding="utf-8"?>
<formControlPr xmlns="http://schemas.microsoft.com/office/spreadsheetml/2009/9/main" objectType="CheckBox" fmlaLink="$P$172" lockText="1" noThreeD="1"/>
</file>

<file path=xl/ctrlProps/ctrlProp100.xml><?xml version="1.0" encoding="utf-8"?>
<formControlPr xmlns="http://schemas.microsoft.com/office/spreadsheetml/2009/9/main" objectType="CheckBox" fmlaLink="$P$173" lockText="1" noThreeD="1"/>
</file>

<file path=xl/ctrlProps/ctrlProp101.xml><?xml version="1.0" encoding="utf-8"?>
<formControlPr xmlns="http://schemas.microsoft.com/office/spreadsheetml/2009/9/main" objectType="CheckBox" checked="Checked" fmlaLink="$P$175" lockText="1" noThreeD="1"/>
</file>

<file path=xl/ctrlProps/ctrlProp102.xml><?xml version="1.0" encoding="utf-8"?>
<formControlPr xmlns="http://schemas.microsoft.com/office/spreadsheetml/2009/9/main" objectType="CheckBox" checked="Checked" fmlaLink="$P$176" lockText="1" noThreeD="1"/>
</file>

<file path=xl/ctrlProps/ctrlProp103.xml><?xml version="1.0" encoding="utf-8"?>
<formControlPr xmlns="http://schemas.microsoft.com/office/spreadsheetml/2009/9/main" objectType="CheckBox" checked="Checked" fmlaLink="$P$177" lockText="1" noThreeD="1"/>
</file>

<file path=xl/ctrlProps/ctrlProp104.xml><?xml version="1.0" encoding="utf-8"?>
<formControlPr xmlns="http://schemas.microsoft.com/office/spreadsheetml/2009/9/main" objectType="CheckBox" checked="Checked" fmlaLink="$P$178" lockText="1" noThreeD="1"/>
</file>

<file path=xl/ctrlProps/ctrlProp105.xml><?xml version="1.0" encoding="utf-8"?>
<formControlPr xmlns="http://schemas.microsoft.com/office/spreadsheetml/2009/9/main" objectType="CheckBox" checked="Checked" fmlaLink="$P$179" lockText="1" noThreeD="1"/>
</file>

<file path=xl/ctrlProps/ctrlProp106.xml><?xml version="1.0" encoding="utf-8"?>
<formControlPr xmlns="http://schemas.microsoft.com/office/spreadsheetml/2009/9/main" objectType="CheckBox" fmlaLink="$P$180" lockText="1" noThreeD="1"/>
</file>

<file path=xl/ctrlProps/ctrlProp107.xml><?xml version="1.0" encoding="utf-8"?>
<formControlPr xmlns="http://schemas.microsoft.com/office/spreadsheetml/2009/9/main" objectType="CheckBox" fmlaLink="$P$181" lockText="1" noThreeD="1"/>
</file>

<file path=xl/ctrlProps/ctrlProp108.xml><?xml version="1.0" encoding="utf-8"?>
<formControlPr xmlns="http://schemas.microsoft.com/office/spreadsheetml/2009/9/main" objectType="CheckBox" checked="Checked" fmlaLink="$P$183" lockText="1" noThreeD="1"/>
</file>

<file path=xl/ctrlProps/ctrlProp109.xml><?xml version="1.0" encoding="utf-8"?>
<formControlPr xmlns="http://schemas.microsoft.com/office/spreadsheetml/2009/9/main" objectType="CheckBox" checked="Checked" fmlaLink="$P$184" lockText="1" noThreeD="1"/>
</file>

<file path=xl/ctrlProps/ctrlProp110.xml><?xml version="1.0" encoding="utf-8"?>
<formControlPr xmlns="http://schemas.microsoft.com/office/spreadsheetml/2009/9/main" objectType="CheckBox" fmlaLink="$P$185" lockText="1" noThreeD="1"/>
</file>

<file path=xl/ctrlProps/ctrlProp111.xml><?xml version="1.0" encoding="utf-8"?>
<formControlPr xmlns="http://schemas.microsoft.com/office/spreadsheetml/2009/9/main" objectType="CheckBox" fmlaLink="$P$187" lockText="1" noThreeD="1"/>
</file>

<file path=xl/ctrlProps/ctrlProp112.xml><?xml version="1.0" encoding="utf-8"?>
<formControlPr xmlns="http://schemas.microsoft.com/office/spreadsheetml/2009/9/main" objectType="CheckBox" fmlaLink="$P$188" lockText="1" noThreeD="1"/>
</file>

<file path=xl/ctrlProps/ctrlProp113.xml><?xml version="1.0" encoding="utf-8"?>
<formControlPr xmlns="http://schemas.microsoft.com/office/spreadsheetml/2009/9/main" objectType="CheckBox" fmlaLink="$P$189" lockText="1" noThreeD="1"/>
</file>

<file path=xl/ctrlProps/ctrlProp114.xml><?xml version="1.0" encoding="utf-8"?>
<formControlPr xmlns="http://schemas.microsoft.com/office/spreadsheetml/2009/9/main" objectType="CheckBox" fmlaLink="$P$190" lockText="1" noThreeD="1"/>
</file>

<file path=xl/ctrlProps/ctrlProp115.xml><?xml version="1.0" encoding="utf-8"?>
<formControlPr xmlns="http://schemas.microsoft.com/office/spreadsheetml/2009/9/main" objectType="CheckBox" fmlaLink="$P$191" lockText="1" noThreeD="1"/>
</file>

<file path=xl/ctrlProps/ctrlProp116.xml><?xml version="1.0" encoding="utf-8"?>
<formControlPr xmlns="http://schemas.microsoft.com/office/spreadsheetml/2009/9/main" objectType="CheckBox" fmlaLink="$P$192" lockText="1" noThreeD="1"/>
</file>

<file path=xl/ctrlProps/ctrlProp117.xml><?xml version="1.0" encoding="utf-8"?>
<formControlPr xmlns="http://schemas.microsoft.com/office/spreadsheetml/2009/9/main" objectType="CheckBox" fmlaLink="$P$193" lockText="1" noThreeD="1"/>
</file>

<file path=xl/ctrlProps/ctrlProp118.xml><?xml version="1.0" encoding="utf-8"?>
<formControlPr xmlns="http://schemas.microsoft.com/office/spreadsheetml/2009/9/main" objectType="CheckBox" fmlaLink="$P$194" lockText="1" noThreeD="1"/>
</file>

<file path=xl/ctrlProps/ctrlProp119.xml><?xml version="1.0" encoding="utf-8"?>
<formControlPr xmlns="http://schemas.microsoft.com/office/spreadsheetml/2009/9/main" objectType="CheckBox" fmlaLink="$P$195" lockText="1" noThreeD="1"/>
</file>

<file path=xl/ctrlProps/ctrlProp120.xml><?xml version="1.0" encoding="utf-8"?>
<formControlPr xmlns="http://schemas.microsoft.com/office/spreadsheetml/2009/9/main" objectType="CheckBox" fmlaLink="$P$196" lockText="1" noThreeD="1"/>
</file>

<file path=xl/ctrlProps/ctrlProp121.xml><?xml version="1.0" encoding="utf-8"?>
<formControlPr xmlns="http://schemas.microsoft.com/office/spreadsheetml/2009/9/main" objectType="CheckBox" fmlaLink="$P$197" lockText="1" noThreeD="1"/>
</file>

<file path=xl/ctrlProps/ctrlProp122.xml><?xml version="1.0" encoding="utf-8"?>
<formControlPr xmlns="http://schemas.microsoft.com/office/spreadsheetml/2009/9/main" objectType="CheckBox" fmlaLink="$P$198" lockText="1" noThreeD="1"/>
</file>

<file path=xl/ctrlProps/ctrlProp123.xml><?xml version="1.0" encoding="utf-8"?>
<formControlPr xmlns="http://schemas.microsoft.com/office/spreadsheetml/2009/9/main" objectType="CheckBox" fmlaLink="$P$199" lockText="1" noThreeD="1"/>
</file>

<file path=xl/ctrlProps/ctrlProp124.xml><?xml version="1.0" encoding="utf-8"?>
<formControlPr xmlns="http://schemas.microsoft.com/office/spreadsheetml/2009/9/main" objectType="CheckBox" fmlaLink="$P$200" lockText="1" noThreeD="1"/>
</file>

<file path=xl/ctrlProps/ctrlProp125.xml><?xml version="1.0" encoding="utf-8"?>
<formControlPr xmlns="http://schemas.microsoft.com/office/spreadsheetml/2009/9/main" objectType="CheckBox" fmlaLink="$P$201" lockText="1" noThreeD="1"/>
</file>

<file path=xl/ctrlProps/ctrlProp126.xml><?xml version="1.0" encoding="utf-8"?>
<formControlPr xmlns="http://schemas.microsoft.com/office/spreadsheetml/2009/9/main" objectType="CheckBox" checked="Checked" fmlaLink="$P$96" lockText="1" noThreeD="1"/>
</file>

<file path=xl/ctrlProps/ctrlProp127.xml><?xml version="1.0" encoding="utf-8"?>
<formControlPr xmlns="http://schemas.microsoft.com/office/spreadsheetml/2009/9/main" objectType="CheckBox" checked="Checked" fmlaLink="$P$9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32</xdr:row>
          <xdr:rowOff>180975</xdr:rowOff>
        </xdr:from>
        <xdr:to>
          <xdr:col>16</xdr:col>
          <xdr:colOff>323850</xdr:colOff>
          <xdr:row>34</xdr:row>
          <xdr:rowOff>9525</xdr:rowOff>
        </xdr:to>
        <xdr:sp macro="" textlink="">
          <xdr:nvSpPr>
            <xdr:cNvPr id="2016" name="MaCB" hidden="1">
              <a:extLst>
                <a:ext uri="{63B3BB69-23CF-44E3-9099-C40C66FF867C}">
                  <a14:compatExt spid="_x0000_s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39</xdr:row>
          <xdr:rowOff>19050</xdr:rowOff>
        </xdr:from>
        <xdr:to>
          <xdr:col>16</xdr:col>
          <xdr:colOff>285750</xdr:colOff>
          <xdr:row>40</xdr:row>
          <xdr:rowOff>19050</xdr:rowOff>
        </xdr:to>
        <xdr:sp macro="" textlink="">
          <xdr:nvSpPr>
            <xdr:cNvPr id="2017" name="Obj1CB" hidden="1">
              <a:extLst>
                <a:ext uri="{63B3BB69-23CF-44E3-9099-C40C66FF867C}">
                  <a14:compatExt spid="_x0000_s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45</xdr:row>
          <xdr:rowOff>19050</xdr:rowOff>
        </xdr:from>
        <xdr:to>
          <xdr:col>16</xdr:col>
          <xdr:colOff>295275</xdr:colOff>
          <xdr:row>46</xdr:row>
          <xdr:rowOff>19050</xdr:rowOff>
        </xdr:to>
        <xdr:sp macro="" textlink="">
          <xdr:nvSpPr>
            <xdr:cNvPr id="2018" name="Obj2CB" hidden="1">
              <a:extLst>
                <a:ext uri="{63B3BB69-23CF-44E3-9099-C40C66FF867C}">
                  <a14:compatExt spid="_x0000_s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51</xdr:row>
          <xdr:rowOff>19050</xdr:rowOff>
        </xdr:from>
        <xdr:to>
          <xdr:col>16</xdr:col>
          <xdr:colOff>285750</xdr:colOff>
          <xdr:row>52</xdr:row>
          <xdr:rowOff>19050</xdr:rowOff>
        </xdr:to>
        <xdr:sp macro="" textlink="">
          <xdr:nvSpPr>
            <xdr:cNvPr id="2019" name="Obj3CB" hidden="1">
              <a:extLst>
                <a:ext uri="{63B3BB69-23CF-44E3-9099-C40C66FF867C}">
                  <a14:compatExt spid="_x0000_s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57</xdr:row>
          <xdr:rowOff>19050</xdr:rowOff>
        </xdr:from>
        <xdr:to>
          <xdr:col>16</xdr:col>
          <xdr:colOff>285750</xdr:colOff>
          <xdr:row>58</xdr:row>
          <xdr:rowOff>19050</xdr:rowOff>
        </xdr:to>
        <xdr:sp macro="" textlink="">
          <xdr:nvSpPr>
            <xdr:cNvPr id="2020" name="Obj4CB" hidden="1">
              <a:extLst>
                <a:ext uri="{63B3BB69-23CF-44E3-9099-C40C66FF867C}">
                  <a14:compatExt spid="_x0000_s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63</xdr:row>
          <xdr:rowOff>9525</xdr:rowOff>
        </xdr:from>
        <xdr:to>
          <xdr:col>16</xdr:col>
          <xdr:colOff>295275</xdr:colOff>
          <xdr:row>64</xdr:row>
          <xdr:rowOff>9525</xdr:rowOff>
        </xdr:to>
        <xdr:sp macro="" textlink="">
          <xdr:nvSpPr>
            <xdr:cNvPr id="2021" name="Obj5CB" hidden="1">
              <a:extLst>
                <a:ext uri="{63B3BB69-23CF-44E3-9099-C40C66FF867C}">
                  <a14:compatExt spid="_x0000_s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69</xdr:row>
          <xdr:rowOff>9525</xdr:rowOff>
        </xdr:from>
        <xdr:to>
          <xdr:col>16</xdr:col>
          <xdr:colOff>285750</xdr:colOff>
          <xdr:row>70</xdr:row>
          <xdr:rowOff>9525</xdr:rowOff>
        </xdr:to>
        <xdr:sp macro="" textlink="">
          <xdr:nvSpPr>
            <xdr:cNvPr id="2022" name="Obj6CB" hidden="1">
              <a:extLst>
                <a:ext uri="{63B3BB69-23CF-44E3-9099-C40C66FF867C}">
                  <a14:compatExt spid="_x0000_s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75</xdr:row>
          <xdr:rowOff>9525</xdr:rowOff>
        </xdr:from>
        <xdr:to>
          <xdr:col>16</xdr:col>
          <xdr:colOff>276225</xdr:colOff>
          <xdr:row>76</xdr:row>
          <xdr:rowOff>9525</xdr:rowOff>
        </xdr:to>
        <xdr:sp macro="" textlink="">
          <xdr:nvSpPr>
            <xdr:cNvPr id="2023" name="Obj7CB" hidden="1">
              <a:extLst>
                <a:ext uri="{63B3BB69-23CF-44E3-9099-C40C66FF867C}">
                  <a14:compatExt spid="_x0000_s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82</xdr:row>
          <xdr:rowOff>9525</xdr:rowOff>
        </xdr:from>
        <xdr:to>
          <xdr:col>16</xdr:col>
          <xdr:colOff>276225</xdr:colOff>
          <xdr:row>83</xdr:row>
          <xdr:rowOff>9525</xdr:rowOff>
        </xdr:to>
        <xdr:sp macro="" textlink="">
          <xdr:nvSpPr>
            <xdr:cNvPr id="2024" name="Vol1CB" hidden="1">
              <a:extLst>
                <a:ext uri="{63B3BB69-23CF-44E3-9099-C40C66FF867C}">
                  <a14:compatExt spid="_x0000_s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90</xdr:row>
          <xdr:rowOff>9525</xdr:rowOff>
        </xdr:from>
        <xdr:to>
          <xdr:col>16</xdr:col>
          <xdr:colOff>276225</xdr:colOff>
          <xdr:row>91</xdr:row>
          <xdr:rowOff>9525</xdr:rowOff>
        </xdr:to>
        <xdr:sp macro="" textlink="">
          <xdr:nvSpPr>
            <xdr:cNvPr id="2025" name="Vol2CB" hidden="1">
              <a:extLst>
                <a:ext uri="{63B3BB69-23CF-44E3-9099-C40C66FF867C}">
                  <a14:compatExt spid="_x0000_s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173</xdr:row>
          <xdr:rowOff>19050</xdr:rowOff>
        </xdr:from>
        <xdr:to>
          <xdr:col>16</xdr:col>
          <xdr:colOff>285750</xdr:colOff>
          <xdr:row>174</xdr:row>
          <xdr:rowOff>19050</xdr:rowOff>
        </xdr:to>
        <xdr:sp macro="" textlink="">
          <xdr:nvSpPr>
            <xdr:cNvPr id="2026" name="Vol3CB" hidden="1">
              <a:extLst>
                <a:ext uri="{63B3BB69-23CF-44E3-9099-C40C66FF867C}">
                  <a14:compatExt spid="_x0000_s2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181</xdr:row>
          <xdr:rowOff>9525</xdr:rowOff>
        </xdr:from>
        <xdr:to>
          <xdr:col>16</xdr:col>
          <xdr:colOff>276225</xdr:colOff>
          <xdr:row>182</xdr:row>
          <xdr:rowOff>9525</xdr:rowOff>
        </xdr:to>
        <xdr:sp macro="" textlink="">
          <xdr:nvSpPr>
            <xdr:cNvPr id="2027" name="Vol4CB" hidden="1">
              <a:extLst>
                <a:ext uri="{63B3BB69-23CF-44E3-9099-C40C66FF867C}">
                  <a14:compatExt spid="_x0000_s2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185</xdr:row>
          <xdr:rowOff>9525</xdr:rowOff>
        </xdr:from>
        <xdr:to>
          <xdr:col>16</xdr:col>
          <xdr:colOff>276225</xdr:colOff>
          <xdr:row>186</xdr:row>
          <xdr:rowOff>9525</xdr:rowOff>
        </xdr:to>
        <xdr:sp macro="" textlink="">
          <xdr:nvSpPr>
            <xdr:cNvPr id="2028" name="Vol5CB" hidden="1">
              <a:extLst>
                <a:ext uri="{63B3BB69-23CF-44E3-9099-C40C66FF867C}">
                  <a14:compatExt spid="_x0000_s2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83</xdr:row>
          <xdr:rowOff>0</xdr:rowOff>
        </xdr:from>
        <xdr:to>
          <xdr:col>16</xdr:col>
          <xdr:colOff>276225</xdr:colOff>
          <xdr:row>84</xdr:row>
          <xdr:rowOff>0</xdr:rowOff>
        </xdr:to>
        <xdr:sp macro="" textlink="">
          <xdr:nvSpPr>
            <xdr:cNvPr id="2029" name="Bloc11CB" hidden="1">
              <a:extLst>
                <a:ext uri="{63B3BB69-23CF-44E3-9099-C40C66FF867C}">
                  <a14:compatExt spid="_x0000_s2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84</xdr:row>
          <xdr:rowOff>9525</xdr:rowOff>
        </xdr:from>
        <xdr:to>
          <xdr:col>16</xdr:col>
          <xdr:colOff>276225</xdr:colOff>
          <xdr:row>85</xdr:row>
          <xdr:rowOff>9525</xdr:rowOff>
        </xdr:to>
        <xdr:sp macro="" textlink="">
          <xdr:nvSpPr>
            <xdr:cNvPr id="2030" name="Garantie111CB" hidden="1">
              <a:extLst>
                <a:ext uri="{63B3BB69-23CF-44E3-9099-C40C66FF867C}">
                  <a14:compatExt spid="_x0000_s2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85</xdr:row>
          <xdr:rowOff>9525</xdr:rowOff>
        </xdr:from>
        <xdr:to>
          <xdr:col>16</xdr:col>
          <xdr:colOff>276225</xdr:colOff>
          <xdr:row>86</xdr:row>
          <xdr:rowOff>9525</xdr:rowOff>
        </xdr:to>
        <xdr:sp macro="" textlink="">
          <xdr:nvSpPr>
            <xdr:cNvPr id="2032" name="Garantie112CB" hidden="1">
              <a:extLst>
                <a:ext uri="{63B3BB69-23CF-44E3-9099-C40C66FF867C}">
                  <a14:compatExt spid="_x0000_s2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86</xdr:row>
          <xdr:rowOff>9525</xdr:rowOff>
        </xdr:from>
        <xdr:to>
          <xdr:col>16</xdr:col>
          <xdr:colOff>276225</xdr:colOff>
          <xdr:row>87</xdr:row>
          <xdr:rowOff>9525</xdr:rowOff>
        </xdr:to>
        <xdr:sp macro="" textlink="">
          <xdr:nvSpPr>
            <xdr:cNvPr id="2033" name="Garantie113CB" hidden="1">
              <a:extLst>
                <a:ext uri="{63B3BB69-23CF-44E3-9099-C40C66FF867C}">
                  <a14:compatExt spid="_x0000_s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87</xdr:row>
          <xdr:rowOff>9525</xdr:rowOff>
        </xdr:from>
        <xdr:to>
          <xdr:col>16</xdr:col>
          <xdr:colOff>276225</xdr:colOff>
          <xdr:row>88</xdr:row>
          <xdr:rowOff>9525</xdr:rowOff>
        </xdr:to>
        <xdr:sp macro="" textlink="">
          <xdr:nvSpPr>
            <xdr:cNvPr id="2034" name="Garantie114CB" hidden="1">
              <a:extLst>
                <a:ext uri="{63B3BB69-23CF-44E3-9099-C40C66FF867C}">
                  <a14:compatExt spid="_x0000_s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88</xdr:row>
          <xdr:rowOff>19050</xdr:rowOff>
        </xdr:from>
        <xdr:to>
          <xdr:col>16</xdr:col>
          <xdr:colOff>276225</xdr:colOff>
          <xdr:row>89</xdr:row>
          <xdr:rowOff>19050</xdr:rowOff>
        </xdr:to>
        <xdr:sp macro="" textlink="">
          <xdr:nvSpPr>
            <xdr:cNvPr id="2035" name="Garantie115CB" hidden="1">
              <a:extLst>
                <a:ext uri="{63B3BB69-23CF-44E3-9099-C40C66FF867C}">
                  <a14:compatExt spid="_x0000_s2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89</xdr:row>
          <xdr:rowOff>9525</xdr:rowOff>
        </xdr:from>
        <xdr:to>
          <xdr:col>16</xdr:col>
          <xdr:colOff>276225</xdr:colOff>
          <xdr:row>90</xdr:row>
          <xdr:rowOff>9525</xdr:rowOff>
        </xdr:to>
        <xdr:sp macro="" textlink="">
          <xdr:nvSpPr>
            <xdr:cNvPr id="2036" name="Garantie116CB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91</xdr:row>
          <xdr:rowOff>9525</xdr:rowOff>
        </xdr:from>
        <xdr:to>
          <xdr:col>16</xdr:col>
          <xdr:colOff>285750</xdr:colOff>
          <xdr:row>92</xdr:row>
          <xdr:rowOff>9525</xdr:rowOff>
        </xdr:to>
        <xdr:sp macro="" textlink="">
          <xdr:nvSpPr>
            <xdr:cNvPr id="2037" name="Bloc21CB" hidden="1">
              <a:extLst>
                <a:ext uri="{63B3BB69-23CF-44E3-9099-C40C66FF867C}">
                  <a14:compatExt spid="_x0000_s2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92</xdr:row>
          <xdr:rowOff>0</xdr:rowOff>
        </xdr:from>
        <xdr:to>
          <xdr:col>16</xdr:col>
          <xdr:colOff>285750</xdr:colOff>
          <xdr:row>93</xdr:row>
          <xdr:rowOff>0</xdr:rowOff>
        </xdr:to>
        <xdr:sp macro="" textlink="">
          <xdr:nvSpPr>
            <xdr:cNvPr id="2038" name="Garantie211CB" hidden="1">
              <a:extLst>
                <a:ext uri="{63B3BB69-23CF-44E3-9099-C40C66FF867C}">
                  <a14:compatExt spid="_x0000_s2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93</xdr:row>
          <xdr:rowOff>0</xdr:rowOff>
        </xdr:from>
        <xdr:to>
          <xdr:col>16</xdr:col>
          <xdr:colOff>285750</xdr:colOff>
          <xdr:row>94</xdr:row>
          <xdr:rowOff>0</xdr:rowOff>
        </xdr:to>
        <xdr:sp macro="" textlink="">
          <xdr:nvSpPr>
            <xdr:cNvPr id="2039" name="Garantie2111CB" hidden="1">
              <a:extLst>
                <a:ext uri="{63B3BB69-23CF-44E3-9099-C40C66FF867C}">
                  <a14:compatExt spid="_x0000_s2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94</xdr:row>
          <xdr:rowOff>0</xdr:rowOff>
        </xdr:from>
        <xdr:to>
          <xdr:col>16</xdr:col>
          <xdr:colOff>285750</xdr:colOff>
          <xdr:row>95</xdr:row>
          <xdr:rowOff>0</xdr:rowOff>
        </xdr:to>
        <xdr:sp macro="" textlink="">
          <xdr:nvSpPr>
            <xdr:cNvPr id="2040" name="Garantie2112CB" hidden="1">
              <a:extLst>
                <a:ext uri="{63B3BB69-23CF-44E3-9099-C40C66FF867C}">
                  <a14:compatExt spid="_x0000_s2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98</xdr:row>
          <xdr:rowOff>19050</xdr:rowOff>
        </xdr:from>
        <xdr:to>
          <xdr:col>16</xdr:col>
          <xdr:colOff>285750</xdr:colOff>
          <xdr:row>99</xdr:row>
          <xdr:rowOff>19050</xdr:rowOff>
        </xdr:to>
        <xdr:sp macro="" textlink="">
          <xdr:nvSpPr>
            <xdr:cNvPr id="2044" name="Garantie2116CB" hidden="1">
              <a:extLst>
                <a:ext uri="{63B3BB69-23CF-44E3-9099-C40C66FF867C}">
                  <a14:compatExt spid="_x0000_s2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97</xdr:row>
          <xdr:rowOff>28575</xdr:rowOff>
        </xdr:from>
        <xdr:to>
          <xdr:col>16</xdr:col>
          <xdr:colOff>285750</xdr:colOff>
          <xdr:row>98</xdr:row>
          <xdr:rowOff>28575</xdr:rowOff>
        </xdr:to>
        <xdr:sp macro="" textlink="">
          <xdr:nvSpPr>
            <xdr:cNvPr id="2045" name="Garantie2115CB" hidden="1">
              <a:extLst>
                <a:ext uri="{63B3BB69-23CF-44E3-9099-C40C66FF867C}">
                  <a14:compatExt spid="_x0000_s2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99</xdr:row>
          <xdr:rowOff>28575</xdr:rowOff>
        </xdr:from>
        <xdr:to>
          <xdr:col>16</xdr:col>
          <xdr:colOff>285750</xdr:colOff>
          <xdr:row>100</xdr:row>
          <xdr:rowOff>28575</xdr:rowOff>
        </xdr:to>
        <xdr:sp macro="" textlink="">
          <xdr:nvSpPr>
            <xdr:cNvPr id="2046" name="Garantie212CB" hidden="1">
              <a:extLst>
                <a:ext uri="{63B3BB69-23CF-44E3-9099-C40C66FF867C}">
                  <a14:compatExt spid="_x0000_s2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100</xdr:row>
          <xdr:rowOff>19050</xdr:rowOff>
        </xdr:from>
        <xdr:to>
          <xdr:col>16</xdr:col>
          <xdr:colOff>285750</xdr:colOff>
          <xdr:row>101</xdr:row>
          <xdr:rowOff>19050</xdr:rowOff>
        </xdr:to>
        <xdr:sp macro="" textlink="">
          <xdr:nvSpPr>
            <xdr:cNvPr id="2047" name="Garantie213CB" hidden="1">
              <a:extLst>
                <a:ext uri="{63B3BB69-23CF-44E3-9099-C40C66FF867C}">
                  <a14:compatExt spid="_x0000_s2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101</xdr:row>
          <xdr:rowOff>9525</xdr:rowOff>
        </xdr:from>
        <xdr:to>
          <xdr:col>16</xdr:col>
          <xdr:colOff>285750</xdr:colOff>
          <xdr:row>102</xdr:row>
          <xdr:rowOff>9525</xdr:rowOff>
        </xdr:to>
        <xdr:sp macro="" textlink="">
          <xdr:nvSpPr>
            <xdr:cNvPr id="5120" name="Garantie214CB" hidden="1">
              <a:extLst>
                <a:ext uri="{63B3BB69-23CF-44E3-9099-C40C66FF867C}">
                  <a14:compatExt spid="_x0000_s5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102</xdr:row>
          <xdr:rowOff>0</xdr:rowOff>
        </xdr:from>
        <xdr:to>
          <xdr:col>16</xdr:col>
          <xdr:colOff>285750</xdr:colOff>
          <xdr:row>103</xdr:row>
          <xdr:rowOff>0</xdr:rowOff>
        </xdr:to>
        <xdr:sp macro="" textlink="">
          <xdr:nvSpPr>
            <xdr:cNvPr id="5121" name="Garantie215CB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102</xdr:row>
          <xdr:rowOff>180975</xdr:rowOff>
        </xdr:from>
        <xdr:to>
          <xdr:col>16</xdr:col>
          <xdr:colOff>285750</xdr:colOff>
          <xdr:row>103</xdr:row>
          <xdr:rowOff>180975</xdr:rowOff>
        </xdr:to>
        <xdr:sp macro="" textlink="">
          <xdr:nvSpPr>
            <xdr:cNvPr id="5122" name="Garantie216CB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103</xdr:row>
          <xdr:rowOff>180975</xdr:rowOff>
        </xdr:from>
        <xdr:to>
          <xdr:col>16</xdr:col>
          <xdr:colOff>285750</xdr:colOff>
          <xdr:row>104</xdr:row>
          <xdr:rowOff>180975</xdr:rowOff>
        </xdr:to>
        <xdr:sp macro="" textlink="">
          <xdr:nvSpPr>
            <xdr:cNvPr id="5123" name="Garantie2161CB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104</xdr:row>
          <xdr:rowOff>180975</xdr:rowOff>
        </xdr:from>
        <xdr:to>
          <xdr:col>16</xdr:col>
          <xdr:colOff>285750</xdr:colOff>
          <xdr:row>105</xdr:row>
          <xdr:rowOff>180975</xdr:rowOff>
        </xdr:to>
        <xdr:sp macro="" textlink="">
          <xdr:nvSpPr>
            <xdr:cNvPr id="5124" name="Garantie2162CB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106</xdr:row>
          <xdr:rowOff>0</xdr:rowOff>
        </xdr:from>
        <xdr:to>
          <xdr:col>16</xdr:col>
          <xdr:colOff>285750</xdr:colOff>
          <xdr:row>107</xdr:row>
          <xdr:rowOff>0</xdr:rowOff>
        </xdr:to>
        <xdr:sp macro="" textlink="">
          <xdr:nvSpPr>
            <xdr:cNvPr id="5125" name="Garantie2163CB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107</xdr:row>
          <xdr:rowOff>0</xdr:rowOff>
        </xdr:from>
        <xdr:to>
          <xdr:col>16</xdr:col>
          <xdr:colOff>285750</xdr:colOff>
          <xdr:row>108</xdr:row>
          <xdr:rowOff>0</xdr:rowOff>
        </xdr:to>
        <xdr:sp macro="" textlink="">
          <xdr:nvSpPr>
            <xdr:cNvPr id="5126" name="Garantie2164CB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108</xdr:row>
          <xdr:rowOff>9525</xdr:rowOff>
        </xdr:from>
        <xdr:to>
          <xdr:col>16</xdr:col>
          <xdr:colOff>295275</xdr:colOff>
          <xdr:row>109</xdr:row>
          <xdr:rowOff>9525</xdr:rowOff>
        </xdr:to>
        <xdr:sp macro="" textlink="">
          <xdr:nvSpPr>
            <xdr:cNvPr id="5127" name="Garantie21641CB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109</xdr:row>
          <xdr:rowOff>0</xdr:rowOff>
        </xdr:from>
        <xdr:to>
          <xdr:col>16</xdr:col>
          <xdr:colOff>295275</xdr:colOff>
          <xdr:row>110</xdr:row>
          <xdr:rowOff>0</xdr:rowOff>
        </xdr:to>
        <xdr:sp macro="" textlink="">
          <xdr:nvSpPr>
            <xdr:cNvPr id="5128" name="Garantie21642CB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110</xdr:row>
          <xdr:rowOff>0</xdr:rowOff>
        </xdr:from>
        <xdr:to>
          <xdr:col>16</xdr:col>
          <xdr:colOff>295275</xdr:colOff>
          <xdr:row>111</xdr:row>
          <xdr:rowOff>0</xdr:rowOff>
        </xdr:to>
        <xdr:sp macro="" textlink="">
          <xdr:nvSpPr>
            <xdr:cNvPr id="5129" name="Garantie21643CB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111</xdr:row>
          <xdr:rowOff>0</xdr:rowOff>
        </xdr:from>
        <xdr:to>
          <xdr:col>16</xdr:col>
          <xdr:colOff>295275</xdr:colOff>
          <xdr:row>112</xdr:row>
          <xdr:rowOff>0</xdr:rowOff>
        </xdr:to>
        <xdr:sp macro="" textlink="">
          <xdr:nvSpPr>
            <xdr:cNvPr id="5130" name="Garantie21644CB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112</xdr:row>
          <xdr:rowOff>9525</xdr:rowOff>
        </xdr:from>
        <xdr:to>
          <xdr:col>16</xdr:col>
          <xdr:colOff>295275</xdr:colOff>
          <xdr:row>113</xdr:row>
          <xdr:rowOff>9525</xdr:rowOff>
        </xdr:to>
        <xdr:sp macro="" textlink="">
          <xdr:nvSpPr>
            <xdr:cNvPr id="5131" name="Garantie21645CB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113</xdr:row>
          <xdr:rowOff>9525</xdr:rowOff>
        </xdr:from>
        <xdr:to>
          <xdr:col>16</xdr:col>
          <xdr:colOff>295275</xdr:colOff>
          <xdr:row>114</xdr:row>
          <xdr:rowOff>9525</xdr:rowOff>
        </xdr:to>
        <xdr:sp macro="" textlink="">
          <xdr:nvSpPr>
            <xdr:cNvPr id="5132" name="Garantie217CB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114</xdr:row>
          <xdr:rowOff>9525</xdr:rowOff>
        </xdr:from>
        <xdr:to>
          <xdr:col>16</xdr:col>
          <xdr:colOff>295275</xdr:colOff>
          <xdr:row>115</xdr:row>
          <xdr:rowOff>9525</xdr:rowOff>
        </xdr:to>
        <xdr:sp macro="" textlink="">
          <xdr:nvSpPr>
            <xdr:cNvPr id="5133" name="Garantie2171CB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115</xdr:row>
          <xdr:rowOff>9525</xdr:rowOff>
        </xdr:from>
        <xdr:to>
          <xdr:col>16</xdr:col>
          <xdr:colOff>295275</xdr:colOff>
          <xdr:row>116</xdr:row>
          <xdr:rowOff>9525</xdr:rowOff>
        </xdr:to>
        <xdr:sp macro="" textlink="">
          <xdr:nvSpPr>
            <xdr:cNvPr id="5134" name="Garantie21711CB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116</xdr:row>
          <xdr:rowOff>9525</xdr:rowOff>
        </xdr:from>
        <xdr:to>
          <xdr:col>16</xdr:col>
          <xdr:colOff>295275</xdr:colOff>
          <xdr:row>117</xdr:row>
          <xdr:rowOff>9525</xdr:rowOff>
        </xdr:to>
        <xdr:sp macro="" textlink="">
          <xdr:nvSpPr>
            <xdr:cNvPr id="5135" name="Garantie21712CB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117</xdr:row>
          <xdr:rowOff>9525</xdr:rowOff>
        </xdr:from>
        <xdr:to>
          <xdr:col>16</xdr:col>
          <xdr:colOff>295275</xdr:colOff>
          <xdr:row>118</xdr:row>
          <xdr:rowOff>9525</xdr:rowOff>
        </xdr:to>
        <xdr:sp macro="" textlink="">
          <xdr:nvSpPr>
            <xdr:cNvPr id="5136" name="Garantie2172CB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118</xdr:row>
          <xdr:rowOff>9525</xdr:rowOff>
        </xdr:from>
        <xdr:to>
          <xdr:col>16</xdr:col>
          <xdr:colOff>295275</xdr:colOff>
          <xdr:row>119</xdr:row>
          <xdr:rowOff>9525</xdr:rowOff>
        </xdr:to>
        <xdr:sp macro="" textlink="">
          <xdr:nvSpPr>
            <xdr:cNvPr id="5137" name="Garantie21721CB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119</xdr:row>
          <xdr:rowOff>9525</xdr:rowOff>
        </xdr:from>
        <xdr:to>
          <xdr:col>16</xdr:col>
          <xdr:colOff>295275</xdr:colOff>
          <xdr:row>120</xdr:row>
          <xdr:rowOff>9525</xdr:rowOff>
        </xdr:to>
        <xdr:sp macro="" textlink="">
          <xdr:nvSpPr>
            <xdr:cNvPr id="5138" name="Garantie21722CB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120</xdr:row>
          <xdr:rowOff>0</xdr:rowOff>
        </xdr:from>
        <xdr:to>
          <xdr:col>16</xdr:col>
          <xdr:colOff>295275</xdr:colOff>
          <xdr:row>121</xdr:row>
          <xdr:rowOff>0</xdr:rowOff>
        </xdr:to>
        <xdr:sp macro="" textlink="">
          <xdr:nvSpPr>
            <xdr:cNvPr id="5139" name="Garantie21723CB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121</xdr:row>
          <xdr:rowOff>0</xdr:rowOff>
        </xdr:from>
        <xdr:to>
          <xdr:col>16</xdr:col>
          <xdr:colOff>295275</xdr:colOff>
          <xdr:row>122</xdr:row>
          <xdr:rowOff>0</xdr:rowOff>
        </xdr:to>
        <xdr:sp macro="" textlink="">
          <xdr:nvSpPr>
            <xdr:cNvPr id="5140" name="Garantie2173CB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122</xdr:row>
          <xdr:rowOff>0</xdr:rowOff>
        </xdr:from>
        <xdr:to>
          <xdr:col>16</xdr:col>
          <xdr:colOff>295275</xdr:colOff>
          <xdr:row>123</xdr:row>
          <xdr:rowOff>0</xdr:rowOff>
        </xdr:to>
        <xdr:sp macro="" textlink="">
          <xdr:nvSpPr>
            <xdr:cNvPr id="5141" name="Garantie2174CB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123</xdr:row>
          <xdr:rowOff>0</xdr:rowOff>
        </xdr:from>
        <xdr:to>
          <xdr:col>16</xdr:col>
          <xdr:colOff>295275</xdr:colOff>
          <xdr:row>124</xdr:row>
          <xdr:rowOff>0</xdr:rowOff>
        </xdr:to>
        <xdr:sp macro="" textlink="">
          <xdr:nvSpPr>
            <xdr:cNvPr id="5142" name="Garantie21741CB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124</xdr:row>
          <xdr:rowOff>0</xdr:rowOff>
        </xdr:from>
        <xdr:to>
          <xdr:col>16</xdr:col>
          <xdr:colOff>295275</xdr:colOff>
          <xdr:row>125</xdr:row>
          <xdr:rowOff>0</xdr:rowOff>
        </xdr:to>
        <xdr:sp macro="" textlink="">
          <xdr:nvSpPr>
            <xdr:cNvPr id="5143" name="Garantie21742CB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125</xdr:row>
          <xdr:rowOff>0</xdr:rowOff>
        </xdr:from>
        <xdr:to>
          <xdr:col>16</xdr:col>
          <xdr:colOff>295275</xdr:colOff>
          <xdr:row>126</xdr:row>
          <xdr:rowOff>0</xdr:rowOff>
        </xdr:to>
        <xdr:sp macro="" textlink="">
          <xdr:nvSpPr>
            <xdr:cNvPr id="5144" name="Garantie218CB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126</xdr:row>
          <xdr:rowOff>9525</xdr:rowOff>
        </xdr:from>
        <xdr:to>
          <xdr:col>16</xdr:col>
          <xdr:colOff>295275</xdr:colOff>
          <xdr:row>127</xdr:row>
          <xdr:rowOff>9525</xdr:rowOff>
        </xdr:to>
        <xdr:sp macro="" textlink="">
          <xdr:nvSpPr>
            <xdr:cNvPr id="5145" name="Garantie2181CB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127</xdr:row>
          <xdr:rowOff>0</xdr:rowOff>
        </xdr:from>
        <xdr:to>
          <xdr:col>16</xdr:col>
          <xdr:colOff>295275</xdr:colOff>
          <xdr:row>128</xdr:row>
          <xdr:rowOff>0</xdr:rowOff>
        </xdr:to>
        <xdr:sp macro="" textlink="">
          <xdr:nvSpPr>
            <xdr:cNvPr id="5146" name="Garantie21811CB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127</xdr:row>
          <xdr:rowOff>180975</xdr:rowOff>
        </xdr:from>
        <xdr:to>
          <xdr:col>16</xdr:col>
          <xdr:colOff>295275</xdr:colOff>
          <xdr:row>128</xdr:row>
          <xdr:rowOff>180975</xdr:rowOff>
        </xdr:to>
        <xdr:sp macro="" textlink="">
          <xdr:nvSpPr>
            <xdr:cNvPr id="5147" name="Garantie21812CB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129</xdr:row>
          <xdr:rowOff>0</xdr:rowOff>
        </xdr:from>
        <xdr:to>
          <xdr:col>16</xdr:col>
          <xdr:colOff>295275</xdr:colOff>
          <xdr:row>130</xdr:row>
          <xdr:rowOff>0</xdr:rowOff>
        </xdr:to>
        <xdr:sp macro="" textlink="">
          <xdr:nvSpPr>
            <xdr:cNvPr id="5148" name="Garantie21813CB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130</xdr:row>
          <xdr:rowOff>0</xdr:rowOff>
        </xdr:from>
        <xdr:to>
          <xdr:col>16</xdr:col>
          <xdr:colOff>295275</xdr:colOff>
          <xdr:row>131</xdr:row>
          <xdr:rowOff>0</xdr:rowOff>
        </xdr:to>
        <xdr:sp macro="" textlink="">
          <xdr:nvSpPr>
            <xdr:cNvPr id="5149" name="Garantie21814CB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132</xdr:row>
          <xdr:rowOff>0</xdr:rowOff>
        </xdr:from>
        <xdr:to>
          <xdr:col>16</xdr:col>
          <xdr:colOff>295275</xdr:colOff>
          <xdr:row>133</xdr:row>
          <xdr:rowOff>0</xdr:rowOff>
        </xdr:to>
        <xdr:sp macro="" textlink="">
          <xdr:nvSpPr>
            <xdr:cNvPr id="5151" name="Garantie2182CB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133</xdr:row>
          <xdr:rowOff>0</xdr:rowOff>
        </xdr:from>
        <xdr:to>
          <xdr:col>16</xdr:col>
          <xdr:colOff>295275</xdr:colOff>
          <xdr:row>134</xdr:row>
          <xdr:rowOff>0</xdr:rowOff>
        </xdr:to>
        <xdr:sp macro="" textlink="">
          <xdr:nvSpPr>
            <xdr:cNvPr id="5152" name="Garantie21821CB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134</xdr:row>
          <xdr:rowOff>9525</xdr:rowOff>
        </xdr:from>
        <xdr:to>
          <xdr:col>16</xdr:col>
          <xdr:colOff>295275</xdr:colOff>
          <xdr:row>135</xdr:row>
          <xdr:rowOff>9525</xdr:rowOff>
        </xdr:to>
        <xdr:sp macro="" textlink="">
          <xdr:nvSpPr>
            <xdr:cNvPr id="5153" name="Garantie2183CB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135</xdr:row>
          <xdr:rowOff>9525</xdr:rowOff>
        </xdr:from>
        <xdr:to>
          <xdr:col>16</xdr:col>
          <xdr:colOff>295275</xdr:colOff>
          <xdr:row>136</xdr:row>
          <xdr:rowOff>9525</xdr:rowOff>
        </xdr:to>
        <xdr:sp macro="" textlink="">
          <xdr:nvSpPr>
            <xdr:cNvPr id="5154" name="Garantie2184CB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130</xdr:row>
          <xdr:rowOff>180975</xdr:rowOff>
        </xdr:from>
        <xdr:to>
          <xdr:col>16</xdr:col>
          <xdr:colOff>295275</xdr:colOff>
          <xdr:row>131</xdr:row>
          <xdr:rowOff>180975</xdr:rowOff>
        </xdr:to>
        <xdr:sp macro="" textlink="">
          <xdr:nvSpPr>
            <xdr:cNvPr id="5155" name="Garantie21815CB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136</xdr:row>
          <xdr:rowOff>0</xdr:rowOff>
        </xdr:from>
        <xdr:to>
          <xdr:col>16</xdr:col>
          <xdr:colOff>295275</xdr:colOff>
          <xdr:row>137</xdr:row>
          <xdr:rowOff>0</xdr:rowOff>
        </xdr:to>
        <xdr:sp macro="" textlink="">
          <xdr:nvSpPr>
            <xdr:cNvPr id="5156" name="Garantie2185CB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137</xdr:row>
          <xdr:rowOff>0</xdr:rowOff>
        </xdr:from>
        <xdr:to>
          <xdr:col>16</xdr:col>
          <xdr:colOff>295275</xdr:colOff>
          <xdr:row>138</xdr:row>
          <xdr:rowOff>0</xdr:rowOff>
        </xdr:to>
        <xdr:sp macro="" textlink="">
          <xdr:nvSpPr>
            <xdr:cNvPr id="5157" name="Garantie2186CB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138</xdr:row>
          <xdr:rowOff>9525</xdr:rowOff>
        </xdr:from>
        <xdr:to>
          <xdr:col>16</xdr:col>
          <xdr:colOff>295275</xdr:colOff>
          <xdr:row>139</xdr:row>
          <xdr:rowOff>9525</xdr:rowOff>
        </xdr:to>
        <xdr:sp macro="" textlink="">
          <xdr:nvSpPr>
            <xdr:cNvPr id="5158" name="Garantie2187CB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139</xdr:row>
          <xdr:rowOff>9525</xdr:rowOff>
        </xdr:from>
        <xdr:to>
          <xdr:col>16</xdr:col>
          <xdr:colOff>295275</xdr:colOff>
          <xdr:row>140</xdr:row>
          <xdr:rowOff>9525</xdr:rowOff>
        </xdr:to>
        <xdr:sp macro="" textlink="">
          <xdr:nvSpPr>
            <xdr:cNvPr id="5159" name="Garantie2188CB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140</xdr:row>
          <xdr:rowOff>19050</xdr:rowOff>
        </xdr:from>
        <xdr:to>
          <xdr:col>16</xdr:col>
          <xdr:colOff>295275</xdr:colOff>
          <xdr:row>141</xdr:row>
          <xdr:rowOff>19050</xdr:rowOff>
        </xdr:to>
        <xdr:sp macro="" textlink="">
          <xdr:nvSpPr>
            <xdr:cNvPr id="5160" name="Garantie2189CB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141</xdr:row>
          <xdr:rowOff>9525</xdr:rowOff>
        </xdr:from>
        <xdr:to>
          <xdr:col>16</xdr:col>
          <xdr:colOff>295275</xdr:colOff>
          <xdr:row>142</xdr:row>
          <xdr:rowOff>9525</xdr:rowOff>
        </xdr:to>
        <xdr:sp macro="" textlink="">
          <xdr:nvSpPr>
            <xdr:cNvPr id="5161" name="Garantie21810CB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142</xdr:row>
          <xdr:rowOff>9525</xdr:rowOff>
        </xdr:from>
        <xdr:to>
          <xdr:col>16</xdr:col>
          <xdr:colOff>285750</xdr:colOff>
          <xdr:row>143</xdr:row>
          <xdr:rowOff>9525</xdr:rowOff>
        </xdr:to>
        <xdr:sp macro="" textlink="">
          <xdr:nvSpPr>
            <xdr:cNvPr id="5162" name="Bloc22CB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143</xdr:row>
          <xdr:rowOff>9525</xdr:rowOff>
        </xdr:from>
        <xdr:to>
          <xdr:col>16</xdr:col>
          <xdr:colOff>285750</xdr:colOff>
          <xdr:row>144</xdr:row>
          <xdr:rowOff>9525</xdr:rowOff>
        </xdr:to>
        <xdr:sp macro="" textlink="">
          <xdr:nvSpPr>
            <xdr:cNvPr id="5164" name="Garantie2211CB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144</xdr:row>
          <xdr:rowOff>19050</xdr:rowOff>
        </xdr:from>
        <xdr:to>
          <xdr:col>16</xdr:col>
          <xdr:colOff>285750</xdr:colOff>
          <xdr:row>145</xdr:row>
          <xdr:rowOff>19050</xdr:rowOff>
        </xdr:to>
        <xdr:sp macro="" textlink="">
          <xdr:nvSpPr>
            <xdr:cNvPr id="5166" name="Garantie2212CB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145</xdr:row>
          <xdr:rowOff>19050</xdr:rowOff>
        </xdr:from>
        <xdr:to>
          <xdr:col>16</xdr:col>
          <xdr:colOff>285750</xdr:colOff>
          <xdr:row>146</xdr:row>
          <xdr:rowOff>19050</xdr:rowOff>
        </xdr:to>
        <xdr:sp macro="" textlink="">
          <xdr:nvSpPr>
            <xdr:cNvPr id="5168" name="Garantie2213CB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146</xdr:row>
          <xdr:rowOff>28575</xdr:rowOff>
        </xdr:from>
        <xdr:to>
          <xdr:col>16</xdr:col>
          <xdr:colOff>285750</xdr:colOff>
          <xdr:row>147</xdr:row>
          <xdr:rowOff>28575</xdr:rowOff>
        </xdr:to>
        <xdr:sp macro="" textlink="">
          <xdr:nvSpPr>
            <xdr:cNvPr id="5169" name="Garantie2214CB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147</xdr:row>
          <xdr:rowOff>28575</xdr:rowOff>
        </xdr:from>
        <xdr:to>
          <xdr:col>16</xdr:col>
          <xdr:colOff>285750</xdr:colOff>
          <xdr:row>148</xdr:row>
          <xdr:rowOff>28575</xdr:rowOff>
        </xdr:to>
        <xdr:sp macro="" textlink="">
          <xdr:nvSpPr>
            <xdr:cNvPr id="5170" name="Garantie2215CB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148</xdr:row>
          <xdr:rowOff>28575</xdr:rowOff>
        </xdr:from>
        <xdr:to>
          <xdr:col>16</xdr:col>
          <xdr:colOff>285750</xdr:colOff>
          <xdr:row>149</xdr:row>
          <xdr:rowOff>28575</xdr:rowOff>
        </xdr:to>
        <xdr:sp macro="" textlink="">
          <xdr:nvSpPr>
            <xdr:cNvPr id="5171" name="Garantie2216CB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149</xdr:row>
          <xdr:rowOff>28575</xdr:rowOff>
        </xdr:from>
        <xdr:to>
          <xdr:col>16</xdr:col>
          <xdr:colOff>285750</xdr:colOff>
          <xdr:row>150</xdr:row>
          <xdr:rowOff>28575</xdr:rowOff>
        </xdr:to>
        <xdr:sp macro="" textlink="">
          <xdr:nvSpPr>
            <xdr:cNvPr id="5172" name="Garantie222CB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150</xdr:row>
          <xdr:rowOff>28575</xdr:rowOff>
        </xdr:from>
        <xdr:to>
          <xdr:col>16</xdr:col>
          <xdr:colOff>285750</xdr:colOff>
          <xdr:row>151</xdr:row>
          <xdr:rowOff>28575</xdr:rowOff>
        </xdr:to>
        <xdr:sp macro="" textlink="">
          <xdr:nvSpPr>
            <xdr:cNvPr id="5173" name="Garantie223CB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151</xdr:row>
          <xdr:rowOff>9525</xdr:rowOff>
        </xdr:from>
        <xdr:to>
          <xdr:col>16</xdr:col>
          <xdr:colOff>285750</xdr:colOff>
          <xdr:row>152</xdr:row>
          <xdr:rowOff>9525</xdr:rowOff>
        </xdr:to>
        <xdr:sp macro="" textlink="">
          <xdr:nvSpPr>
            <xdr:cNvPr id="5174" name="Garantie2231CB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152</xdr:row>
          <xdr:rowOff>9525</xdr:rowOff>
        </xdr:from>
        <xdr:to>
          <xdr:col>16</xdr:col>
          <xdr:colOff>285750</xdr:colOff>
          <xdr:row>153</xdr:row>
          <xdr:rowOff>9525</xdr:rowOff>
        </xdr:to>
        <xdr:sp macro="" textlink="">
          <xdr:nvSpPr>
            <xdr:cNvPr id="5175" name="Garantie2232CB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153</xdr:row>
          <xdr:rowOff>9525</xdr:rowOff>
        </xdr:from>
        <xdr:to>
          <xdr:col>16</xdr:col>
          <xdr:colOff>285750</xdr:colOff>
          <xdr:row>154</xdr:row>
          <xdr:rowOff>9525</xdr:rowOff>
        </xdr:to>
        <xdr:sp macro="" textlink="">
          <xdr:nvSpPr>
            <xdr:cNvPr id="5176" name="Bloc23CB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160</xdr:row>
          <xdr:rowOff>9525</xdr:rowOff>
        </xdr:from>
        <xdr:to>
          <xdr:col>16</xdr:col>
          <xdr:colOff>285750</xdr:colOff>
          <xdr:row>161</xdr:row>
          <xdr:rowOff>9525</xdr:rowOff>
        </xdr:to>
        <xdr:sp macro="" textlink="">
          <xdr:nvSpPr>
            <xdr:cNvPr id="5194" name="Bloc24CB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154</xdr:row>
          <xdr:rowOff>19050</xdr:rowOff>
        </xdr:from>
        <xdr:to>
          <xdr:col>16</xdr:col>
          <xdr:colOff>285750</xdr:colOff>
          <xdr:row>155</xdr:row>
          <xdr:rowOff>19050</xdr:rowOff>
        </xdr:to>
        <xdr:sp macro="" textlink="">
          <xdr:nvSpPr>
            <xdr:cNvPr id="5195" name="Garantie231CB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155</xdr:row>
          <xdr:rowOff>9525</xdr:rowOff>
        </xdr:from>
        <xdr:to>
          <xdr:col>16</xdr:col>
          <xdr:colOff>285750</xdr:colOff>
          <xdr:row>156</xdr:row>
          <xdr:rowOff>9525</xdr:rowOff>
        </xdr:to>
        <xdr:sp macro="" textlink="">
          <xdr:nvSpPr>
            <xdr:cNvPr id="5196" name="Garantie232CB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156</xdr:row>
          <xdr:rowOff>19050</xdr:rowOff>
        </xdr:from>
        <xdr:to>
          <xdr:col>16</xdr:col>
          <xdr:colOff>285750</xdr:colOff>
          <xdr:row>157</xdr:row>
          <xdr:rowOff>19050</xdr:rowOff>
        </xdr:to>
        <xdr:sp macro="" textlink="">
          <xdr:nvSpPr>
            <xdr:cNvPr id="5197" name="Garantie2321CB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157</xdr:row>
          <xdr:rowOff>28575</xdr:rowOff>
        </xdr:from>
        <xdr:to>
          <xdr:col>16</xdr:col>
          <xdr:colOff>285750</xdr:colOff>
          <xdr:row>158</xdr:row>
          <xdr:rowOff>28575</xdr:rowOff>
        </xdr:to>
        <xdr:sp macro="" textlink="">
          <xdr:nvSpPr>
            <xdr:cNvPr id="5198" name="Garantie2322CB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158</xdr:row>
          <xdr:rowOff>38100</xdr:rowOff>
        </xdr:from>
        <xdr:to>
          <xdr:col>16</xdr:col>
          <xdr:colOff>285750</xdr:colOff>
          <xdr:row>159</xdr:row>
          <xdr:rowOff>38100</xdr:rowOff>
        </xdr:to>
        <xdr:sp macro="" textlink="">
          <xdr:nvSpPr>
            <xdr:cNvPr id="5199" name="Garantie2323CB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159</xdr:row>
          <xdr:rowOff>28575</xdr:rowOff>
        </xdr:from>
        <xdr:to>
          <xdr:col>16</xdr:col>
          <xdr:colOff>285750</xdr:colOff>
          <xdr:row>160</xdr:row>
          <xdr:rowOff>28575</xdr:rowOff>
        </xdr:to>
        <xdr:sp macro="" textlink="">
          <xdr:nvSpPr>
            <xdr:cNvPr id="5200" name="Garantie2324CB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161</xdr:row>
          <xdr:rowOff>0</xdr:rowOff>
        </xdr:from>
        <xdr:to>
          <xdr:col>16</xdr:col>
          <xdr:colOff>285750</xdr:colOff>
          <xdr:row>162</xdr:row>
          <xdr:rowOff>0</xdr:rowOff>
        </xdr:to>
        <xdr:sp macro="" textlink="">
          <xdr:nvSpPr>
            <xdr:cNvPr id="5201" name="Garantie241CB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162</xdr:row>
          <xdr:rowOff>0</xdr:rowOff>
        </xdr:from>
        <xdr:to>
          <xdr:col>16</xdr:col>
          <xdr:colOff>285750</xdr:colOff>
          <xdr:row>163</xdr:row>
          <xdr:rowOff>0</xdr:rowOff>
        </xdr:to>
        <xdr:sp macro="" textlink="">
          <xdr:nvSpPr>
            <xdr:cNvPr id="5202" name="Garantie242CB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162</xdr:row>
          <xdr:rowOff>180975</xdr:rowOff>
        </xdr:from>
        <xdr:to>
          <xdr:col>16</xdr:col>
          <xdr:colOff>285750</xdr:colOff>
          <xdr:row>163</xdr:row>
          <xdr:rowOff>180975</xdr:rowOff>
        </xdr:to>
        <xdr:sp macro="" textlink="">
          <xdr:nvSpPr>
            <xdr:cNvPr id="5203" name="Garantie2421CB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164</xdr:row>
          <xdr:rowOff>0</xdr:rowOff>
        </xdr:from>
        <xdr:to>
          <xdr:col>16</xdr:col>
          <xdr:colOff>285750</xdr:colOff>
          <xdr:row>165</xdr:row>
          <xdr:rowOff>0</xdr:rowOff>
        </xdr:to>
        <xdr:sp macro="" textlink="">
          <xdr:nvSpPr>
            <xdr:cNvPr id="5204" name="Bloc25CB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165</xdr:row>
          <xdr:rowOff>9525</xdr:rowOff>
        </xdr:from>
        <xdr:to>
          <xdr:col>16</xdr:col>
          <xdr:colOff>285750</xdr:colOff>
          <xdr:row>166</xdr:row>
          <xdr:rowOff>9525</xdr:rowOff>
        </xdr:to>
        <xdr:sp macro="" textlink="">
          <xdr:nvSpPr>
            <xdr:cNvPr id="5205" name="Garantie251CB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166</xdr:row>
          <xdr:rowOff>0</xdr:rowOff>
        </xdr:from>
        <xdr:to>
          <xdr:col>16</xdr:col>
          <xdr:colOff>285750</xdr:colOff>
          <xdr:row>167</xdr:row>
          <xdr:rowOff>0</xdr:rowOff>
        </xdr:to>
        <xdr:sp macro="" textlink="">
          <xdr:nvSpPr>
            <xdr:cNvPr id="5206" name="Garantie2511CB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167</xdr:row>
          <xdr:rowOff>9525</xdr:rowOff>
        </xdr:from>
        <xdr:to>
          <xdr:col>16</xdr:col>
          <xdr:colOff>285750</xdr:colOff>
          <xdr:row>168</xdr:row>
          <xdr:rowOff>9525</xdr:rowOff>
        </xdr:to>
        <xdr:sp macro="" textlink="">
          <xdr:nvSpPr>
            <xdr:cNvPr id="5207" name="Garantie2512CB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168</xdr:row>
          <xdr:rowOff>0</xdr:rowOff>
        </xdr:from>
        <xdr:to>
          <xdr:col>16</xdr:col>
          <xdr:colOff>285750</xdr:colOff>
          <xdr:row>169</xdr:row>
          <xdr:rowOff>0</xdr:rowOff>
        </xdr:to>
        <xdr:sp macro="" textlink="">
          <xdr:nvSpPr>
            <xdr:cNvPr id="5208" name="Garantie2513CB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169</xdr:row>
          <xdr:rowOff>0</xdr:rowOff>
        </xdr:from>
        <xdr:to>
          <xdr:col>16</xdr:col>
          <xdr:colOff>285750</xdr:colOff>
          <xdr:row>170</xdr:row>
          <xdr:rowOff>0</xdr:rowOff>
        </xdr:to>
        <xdr:sp macro="" textlink="">
          <xdr:nvSpPr>
            <xdr:cNvPr id="5209" name="Bloc26CB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170</xdr:row>
          <xdr:rowOff>0</xdr:rowOff>
        </xdr:from>
        <xdr:to>
          <xdr:col>16</xdr:col>
          <xdr:colOff>285750</xdr:colOff>
          <xdr:row>171</xdr:row>
          <xdr:rowOff>0</xdr:rowOff>
        </xdr:to>
        <xdr:sp macro="" textlink="">
          <xdr:nvSpPr>
            <xdr:cNvPr id="5210" name="Garantie261CB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171</xdr:row>
          <xdr:rowOff>9525</xdr:rowOff>
        </xdr:from>
        <xdr:to>
          <xdr:col>16</xdr:col>
          <xdr:colOff>285750</xdr:colOff>
          <xdr:row>172</xdr:row>
          <xdr:rowOff>9525</xdr:rowOff>
        </xdr:to>
        <xdr:sp macro="" textlink="">
          <xdr:nvSpPr>
            <xdr:cNvPr id="5211" name="Bloc27CB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172</xdr:row>
          <xdr:rowOff>9525</xdr:rowOff>
        </xdr:from>
        <xdr:to>
          <xdr:col>16</xdr:col>
          <xdr:colOff>285750</xdr:colOff>
          <xdr:row>173</xdr:row>
          <xdr:rowOff>9525</xdr:rowOff>
        </xdr:to>
        <xdr:sp macro="" textlink="">
          <xdr:nvSpPr>
            <xdr:cNvPr id="5212" name="Garantie271CB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174</xdr:row>
          <xdr:rowOff>9525</xdr:rowOff>
        </xdr:from>
        <xdr:to>
          <xdr:col>16</xdr:col>
          <xdr:colOff>285750</xdr:colOff>
          <xdr:row>175</xdr:row>
          <xdr:rowOff>9525</xdr:rowOff>
        </xdr:to>
        <xdr:sp macro="" textlink="">
          <xdr:nvSpPr>
            <xdr:cNvPr id="5213" name="Bloc31CB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175</xdr:row>
          <xdr:rowOff>9525</xdr:rowOff>
        </xdr:from>
        <xdr:to>
          <xdr:col>16</xdr:col>
          <xdr:colOff>285750</xdr:colOff>
          <xdr:row>176</xdr:row>
          <xdr:rowOff>9525</xdr:rowOff>
        </xdr:to>
        <xdr:sp macro="" textlink="">
          <xdr:nvSpPr>
            <xdr:cNvPr id="5214" name="Garantie311CB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176</xdr:row>
          <xdr:rowOff>0</xdr:rowOff>
        </xdr:from>
        <xdr:to>
          <xdr:col>16</xdr:col>
          <xdr:colOff>285750</xdr:colOff>
          <xdr:row>177</xdr:row>
          <xdr:rowOff>0</xdr:rowOff>
        </xdr:to>
        <xdr:sp macro="" textlink="">
          <xdr:nvSpPr>
            <xdr:cNvPr id="5215" name="Garantie312CB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177</xdr:row>
          <xdr:rowOff>9525</xdr:rowOff>
        </xdr:from>
        <xdr:to>
          <xdr:col>16</xdr:col>
          <xdr:colOff>285750</xdr:colOff>
          <xdr:row>178</xdr:row>
          <xdr:rowOff>9525</xdr:rowOff>
        </xdr:to>
        <xdr:sp macro="" textlink="">
          <xdr:nvSpPr>
            <xdr:cNvPr id="5216" name="Garantie313CB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178</xdr:row>
          <xdr:rowOff>0</xdr:rowOff>
        </xdr:from>
        <xdr:to>
          <xdr:col>16</xdr:col>
          <xdr:colOff>285750</xdr:colOff>
          <xdr:row>179</xdr:row>
          <xdr:rowOff>0</xdr:rowOff>
        </xdr:to>
        <xdr:sp macro="" textlink="">
          <xdr:nvSpPr>
            <xdr:cNvPr id="5217" name="Garantie314CB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179</xdr:row>
          <xdr:rowOff>0</xdr:rowOff>
        </xdr:from>
        <xdr:to>
          <xdr:col>16</xdr:col>
          <xdr:colOff>285750</xdr:colOff>
          <xdr:row>180</xdr:row>
          <xdr:rowOff>0</xdr:rowOff>
        </xdr:to>
        <xdr:sp macro="" textlink="">
          <xdr:nvSpPr>
            <xdr:cNvPr id="5218" name="Bloc32CB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180</xdr:row>
          <xdr:rowOff>0</xdr:rowOff>
        </xdr:from>
        <xdr:to>
          <xdr:col>16</xdr:col>
          <xdr:colOff>285750</xdr:colOff>
          <xdr:row>181</xdr:row>
          <xdr:rowOff>0</xdr:rowOff>
        </xdr:to>
        <xdr:sp macro="" textlink="">
          <xdr:nvSpPr>
            <xdr:cNvPr id="5219" name="Garantie321CB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182</xdr:row>
          <xdr:rowOff>19050</xdr:rowOff>
        </xdr:from>
        <xdr:to>
          <xdr:col>16</xdr:col>
          <xdr:colOff>276225</xdr:colOff>
          <xdr:row>183</xdr:row>
          <xdr:rowOff>19050</xdr:rowOff>
        </xdr:to>
        <xdr:sp macro="" textlink="">
          <xdr:nvSpPr>
            <xdr:cNvPr id="5220" name="Bloc41CB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183</xdr:row>
          <xdr:rowOff>9525</xdr:rowOff>
        </xdr:from>
        <xdr:to>
          <xdr:col>16</xdr:col>
          <xdr:colOff>276225</xdr:colOff>
          <xdr:row>184</xdr:row>
          <xdr:rowOff>9525</xdr:rowOff>
        </xdr:to>
        <xdr:sp macro="" textlink="">
          <xdr:nvSpPr>
            <xdr:cNvPr id="5221" name="Garantie411CB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184</xdr:row>
          <xdr:rowOff>0</xdr:rowOff>
        </xdr:from>
        <xdr:to>
          <xdr:col>16</xdr:col>
          <xdr:colOff>276225</xdr:colOff>
          <xdr:row>185</xdr:row>
          <xdr:rowOff>0</xdr:rowOff>
        </xdr:to>
        <xdr:sp macro="" textlink="">
          <xdr:nvSpPr>
            <xdr:cNvPr id="5222" name="Garantie412CB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186</xdr:row>
          <xdr:rowOff>9525</xdr:rowOff>
        </xdr:from>
        <xdr:to>
          <xdr:col>16</xdr:col>
          <xdr:colOff>276225</xdr:colOff>
          <xdr:row>187</xdr:row>
          <xdr:rowOff>9525</xdr:rowOff>
        </xdr:to>
        <xdr:sp macro="" textlink="">
          <xdr:nvSpPr>
            <xdr:cNvPr id="5223" name="Bloc51CB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187</xdr:row>
          <xdr:rowOff>9525</xdr:rowOff>
        </xdr:from>
        <xdr:to>
          <xdr:col>16</xdr:col>
          <xdr:colOff>285750</xdr:colOff>
          <xdr:row>188</xdr:row>
          <xdr:rowOff>9525</xdr:rowOff>
        </xdr:to>
        <xdr:sp macro="" textlink="">
          <xdr:nvSpPr>
            <xdr:cNvPr id="5224" name="Garantie511CB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188</xdr:row>
          <xdr:rowOff>19050</xdr:rowOff>
        </xdr:from>
        <xdr:to>
          <xdr:col>16</xdr:col>
          <xdr:colOff>285750</xdr:colOff>
          <xdr:row>189</xdr:row>
          <xdr:rowOff>19050</xdr:rowOff>
        </xdr:to>
        <xdr:sp macro="" textlink="">
          <xdr:nvSpPr>
            <xdr:cNvPr id="5225" name="Garantie5111CB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189</xdr:row>
          <xdr:rowOff>19050</xdr:rowOff>
        </xdr:from>
        <xdr:to>
          <xdr:col>16</xdr:col>
          <xdr:colOff>285750</xdr:colOff>
          <xdr:row>190</xdr:row>
          <xdr:rowOff>19050</xdr:rowOff>
        </xdr:to>
        <xdr:sp macro="" textlink="">
          <xdr:nvSpPr>
            <xdr:cNvPr id="5226" name="Garantie5112CB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190</xdr:row>
          <xdr:rowOff>19050</xdr:rowOff>
        </xdr:from>
        <xdr:to>
          <xdr:col>16</xdr:col>
          <xdr:colOff>285750</xdr:colOff>
          <xdr:row>191</xdr:row>
          <xdr:rowOff>19050</xdr:rowOff>
        </xdr:to>
        <xdr:sp macro="" textlink="">
          <xdr:nvSpPr>
            <xdr:cNvPr id="5227" name="Garantie5113CB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191</xdr:row>
          <xdr:rowOff>19050</xdr:rowOff>
        </xdr:from>
        <xdr:to>
          <xdr:col>16</xdr:col>
          <xdr:colOff>285750</xdr:colOff>
          <xdr:row>192</xdr:row>
          <xdr:rowOff>19050</xdr:rowOff>
        </xdr:to>
        <xdr:sp macro="" textlink="">
          <xdr:nvSpPr>
            <xdr:cNvPr id="5228" name="Garantie5114CB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192</xdr:row>
          <xdr:rowOff>19050</xdr:rowOff>
        </xdr:from>
        <xdr:to>
          <xdr:col>16</xdr:col>
          <xdr:colOff>285750</xdr:colOff>
          <xdr:row>193</xdr:row>
          <xdr:rowOff>19050</xdr:rowOff>
        </xdr:to>
        <xdr:sp macro="" textlink="">
          <xdr:nvSpPr>
            <xdr:cNvPr id="5229" name="Garantie51141CB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193</xdr:row>
          <xdr:rowOff>19050</xdr:rowOff>
        </xdr:from>
        <xdr:to>
          <xdr:col>16</xdr:col>
          <xdr:colOff>285750</xdr:colOff>
          <xdr:row>194</xdr:row>
          <xdr:rowOff>19050</xdr:rowOff>
        </xdr:to>
        <xdr:sp macro="" textlink="">
          <xdr:nvSpPr>
            <xdr:cNvPr id="5230" name="Garantie5115CB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194</xdr:row>
          <xdr:rowOff>19050</xdr:rowOff>
        </xdr:from>
        <xdr:to>
          <xdr:col>16</xdr:col>
          <xdr:colOff>285750</xdr:colOff>
          <xdr:row>195</xdr:row>
          <xdr:rowOff>19050</xdr:rowOff>
        </xdr:to>
        <xdr:sp macro="" textlink="">
          <xdr:nvSpPr>
            <xdr:cNvPr id="5231" name="Garantie51151CB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195</xdr:row>
          <xdr:rowOff>9525</xdr:rowOff>
        </xdr:from>
        <xdr:to>
          <xdr:col>16</xdr:col>
          <xdr:colOff>285750</xdr:colOff>
          <xdr:row>196</xdr:row>
          <xdr:rowOff>9525</xdr:rowOff>
        </xdr:to>
        <xdr:sp macro="" textlink="">
          <xdr:nvSpPr>
            <xdr:cNvPr id="5232" name="Garantie51152CB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196</xdr:row>
          <xdr:rowOff>9525</xdr:rowOff>
        </xdr:from>
        <xdr:to>
          <xdr:col>16</xdr:col>
          <xdr:colOff>285750</xdr:colOff>
          <xdr:row>197</xdr:row>
          <xdr:rowOff>9525</xdr:rowOff>
        </xdr:to>
        <xdr:sp macro="" textlink="">
          <xdr:nvSpPr>
            <xdr:cNvPr id="5233" name="Bloc52CB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197</xdr:row>
          <xdr:rowOff>9525</xdr:rowOff>
        </xdr:from>
        <xdr:to>
          <xdr:col>16</xdr:col>
          <xdr:colOff>285750</xdr:colOff>
          <xdr:row>198</xdr:row>
          <xdr:rowOff>9525</xdr:rowOff>
        </xdr:to>
        <xdr:sp macro="" textlink="">
          <xdr:nvSpPr>
            <xdr:cNvPr id="5234" name="Garantie521CB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198</xdr:row>
          <xdr:rowOff>9525</xdr:rowOff>
        </xdr:from>
        <xdr:to>
          <xdr:col>16</xdr:col>
          <xdr:colOff>285750</xdr:colOff>
          <xdr:row>199</xdr:row>
          <xdr:rowOff>9525</xdr:rowOff>
        </xdr:to>
        <xdr:sp macro="" textlink="">
          <xdr:nvSpPr>
            <xdr:cNvPr id="5235" name="Garantie5211CB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199</xdr:row>
          <xdr:rowOff>9525</xdr:rowOff>
        </xdr:from>
        <xdr:to>
          <xdr:col>16</xdr:col>
          <xdr:colOff>285750</xdr:colOff>
          <xdr:row>200</xdr:row>
          <xdr:rowOff>9525</xdr:rowOff>
        </xdr:to>
        <xdr:sp macro="" textlink="">
          <xdr:nvSpPr>
            <xdr:cNvPr id="5236" name="Bloc53CB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200</xdr:row>
          <xdr:rowOff>0</xdr:rowOff>
        </xdr:from>
        <xdr:to>
          <xdr:col>16</xdr:col>
          <xdr:colOff>285750</xdr:colOff>
          <xdr:row>201</xdr:row>
          <xdr:rowOff>0</xdr:rowOff>
        </xdr:to>
        <xdr:sp macro="" textlink="">
          <xdr:nvSpPr>
            <xdr:cNvPr id="5237" name="Garantie531CB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95</xdr:row>
          <xdr:rowOff>9525</xdr:rowOff>
        </xdr:from>
        <xdr:to>
          <xdr:col>16</xdr:col>
          <xdr:colOff>285750</xdr:colOff>
          <xdr:row>96</xdr:row>
          <xdr:rowOff>9525</xdr:rowOff>
        </xdr:to>
        <xdr:sp macro="" textlink="">
          <xdr:nvSpPr>
            <xdr:cNvPr id="5238" name="Garantie2113CB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96</xdr:row>
          <xdr:rowOff>19050</xdr:rowOff>
        </xdr:from>
        <xdr:to>
          <xdr:col>16</xdr:col>
          <xdr:colOff>285750</xdr:colOff>
          <xdr:row>97</xdr:row>
          <xdr:rowOff>19050</xdr:rowOff>
        </xdr:to>
        <xdr:sp macro="" textlink="">
          <xdr:nvSpPr>
            <xdr:cNvPr id="5239" name="Garantie2114CB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oulm/Desktop/Structure_MR_EQDOM%20-%20Copi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s Contrats"/>
      <sheetName val="Branches-Cibles"/>
      <sheetName val="Structure_MR_EQDOM - Copie"/>
    </sheetNames>
    <definedNames>
      <definedName name="Garantie2113CB_Cliquer"/>
      <definedName name="Garantie2114CB_Cliquer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id="2" name="Tableau2" displayName="Tableau2" ref="A1:A14" totalsRowShown="0">
  <autoFilter ref="A1:A14"/>
  <tableColumns count="1">
    <tableColumn id="1" name="Branche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8" name="Tableau8" displayName="Tableau8" ref="C1:O19" totalsRowShown="0">
  <autoFilter ref="C1:O19"/>
  <tableColumns count="13">
    <tableColumn id="1" name="AP"/>
    <tableColumn id="2" name="CO"/>
    <tableColumn id="3" name="IA"/>
    <tableColumn id="4" name="IN"/>
    <tableColumn id="5" name="LO"/>
    <tableColumn id="6" name="MR"/>
    <tableColumn id="7" name="PJ"/>
    <tableColumn id="8" name="PP"/>
    <tableColumn id="9" name="RC"/>
    <tableColumn id="10" name="RS"/>
    <tableColumn id="11" name="RT"/>
    <tableColumn id="12" name="TR"/>
    <tableColumn id="13" name="ZZ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9" name="Tableau9" displayName="Tableau9" ref="A22:A28" totalsRowShown="0">
  <autoFilter ref="A22:A28"/>
  <tableColumns count="1">
    <tableColumn id="1" name="Périodicité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Tableau11" displayName="Tableau11" ref="B22:B107" totalsRowShown="0">
  <autoFilter ref="B22:B107"/>
  <tableColumns count="1">
    <tableColumn id="1" name="Mots Clé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C22:C29" totalsRowShown="0">
  <autoFilter ref="C22:C29"/>
  <tableColumns count="1">
    <tableColumn id="1" name="Obje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au10" displayName="Tableau10" ref="D22:D24" totalsRowShown="0">
  <autoFilter ref="D22:D24"/>
  <tableColumns count="1">
    <tableColumn id="1" name="Type Poli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ableau12" displayName="Tableau12" ref="E22:E40" totalsRowShown="0">
  <autoFilter ref="E22:E40"/>
  <tableColumns count="1">
    <tableColumn id="1" name="Territorialité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Tableau13" displayName="Tableau13" ref="F22:F24" totalsRowShown="0">
  <autoFilter ref="F22:F24"/>
  <tableColumns count="1">
    <tableColumn id="1" name="Choi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Tableau14" displayName="Tableau14" ref="G22:G25" totalsRowShown="0">
  <autoFilter ref="G22:G25"/>
  <tableColumns count="1">
    <tableColumn id="1" name="Unité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5" name="Tableau15" displayName="Tableau15" ref="H22:H34" totalsRowShown="0">
  <autoFilter ref="H22:H34"/>
  <tableColumns count="1">
    <tableColumn id="1" name="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Tableau17" displayName="Tableau17" ref="I22:I25" totalsRowShown="0">
  <autoFilter ref="I22:I25"/>
  <tableColumns count="1">
    <tableColumn id="1" name="HTT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3" displayName="Tableau3" ref="K22:K25" totalsRowShown="0">
  <autoFilter ref="K22:K25"/>
  <tableColumns count="1">
    <tableColumn id="1" name="LCI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omments" Target="../comments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206"/>
  <sheetViews>
    <sheetView tabSelected="1" topLeftCell="C166" zoomScaleNormal="100" workbookViewId="0">
      <selection activeCell="A78" sqref="A78:XFD78"/>
    </sheetView>
  </sheetViews>
  <sheetFormatPr baseColWidth="10" defaultRowHeight="15" x14ac:dyDescent="0.25"/>
  <cols>
    <col min="1" max="1" width="42" style="5" customWidth="1"/>
    <col min="2" max="2" width="19.85546875" style="5" customWidth="1"/>
    <col min="3" max="14" width="14" style="5" customWidth="1"/>
    <col min="15" max="15" width="9.42578125" style="29" hidden="1" customWidth="1"/>
    <col min="16" max="16" width="12" style="34" hidden="1" customWidth="1"/>
    <col min="17" max="17" width="5.85546875" style="33" customWidth="1"/>
    <col min="18" max="18" width="5.85546875" style="33" hidden="1" customWidth="1"/>
    <col min="19" max="19" width="23" style="5" customWidth="1"/>
    <col min="20" max="16384" width="11.42578125" style="5"/>
  </cols>
  <sheetData>
    <row r="1" spans="1:20" ht="19.5" x14ac:dyDescent="0.3">
      <c r="B1" s="48" t="s">
        <v>35</v>
      </c>
      <c r="C1" s="48"/>
      <c r="D1" s="48"/>
      <c r="E1" s="48"/>
      <c r="F1" s="48"/>
      <c r="G1" s="48"/>
      <c r="H1" s="48"/>
      <c r="I1" s="48"/>
      <c r="J1" s="10"/>
      <c r="K1" s="10"/>
    </row>
    <row r="2" spans="1:20" x14ac:dyDescent="0.25">
      <c r="S2" s="11"/>
      <c r="T2" s="5" t="s">
        <v>273</v>
      </c>
    </row>
    <row r="3" spans="1:20" x14ac:dyDescent="0.25">
      <c r="P3" s="9">
        <f ca="1">DATE(YEAR(TODAY()),MID(B13,4,2),MID(B13,1,2))</f>
        <v>43981</v>
      </c>
      <c r="S3" s="12"/>
      <c r="T3" s="5" t="s">
        <v>274</v>
      </c>
    </row>
    <row r="4" spans="1:20" x14ac:dyDescent="0.25">
      <c r="A4" s="13" t="s">
        <v>19</v>
      </c>
      <c r="B4" s="2"/>
      <c r="C4" s="2"/>
      <c r="D4" s="14" t="s">
        <v>48</v>
      </c>
      <c r="E4" s="7" t="s">
        <v>47</v>
      </c>
      <c r="H4" s="14"/>
      <c r="M4" s="3"/>
      <c r="O4" s="30"/>
      <c r="P4" s="9">
        <f ca="1">TODAY()</f>
        <v>43908</v>
      </c>
    </row>
    <row r="5" spans="1:20" x14ac:dyDescent="0.25">
      <c r="A5" s="15"/>
      <c r="P5" s="34">
        <f ca="1">IF(P3&gt;P4,YEAR(TODAY()),YEAR(TODAY())+1)</f>
        <v>2020</v>
      </c>
    </row>
    <row r="6" spans="1:20" x14ac:dyDescent="0.25">
      <c r="A6" s="16" t="s">
        <v>0</v>
      </c>
      <c r="B6" s="4" t="s">
        <v>302</v>
      </c>
      <c r="P6" s="9">
        <v>42736</v>
      </c>
    </row>
    <row r="7" spans="1:20" x14ac:dyDescent="0.25">
      <c r="A7" s="16" t="s">
        <v>5</v>
      </c>
      <c r="B7" s="7" t="s">
        <v>76</v>
      </c>
      <c r="C7" s="7" t="s">
        <v>85</v>
      </c>
      <c r="M7" s="3"/>
      <c r="O7" s="30"/>
      <c r="P7" s="34">
        <f ca="1">IFERROR(DATEDIF(P3,P4,"m"),-(DATEDIF(P4,P3,"m")))</f>
        <v>-2</v>
      </c>
    </row>
    <row r="8" spans="1:20" ht="18.75" x14ac:dyDescent="0.3">
      <c r="A8" s="16" t="s">
        <v>16</v>
      </c>
      <c r="B8" s="4" t="s">
        <v>303</v>
      </c>
      <c r="F8" s="57" t="str">
        <f>IF(OR($J$203=0,$L$203=0,$N$203= 0),"Veuillez renseigner des volets/blocs/garanties","")</f>
        <v/>
      </c>
      <c r="G8" s="57"/>
      <c r="H8" s="57"/>
      <c r="I8" s="57"/>
      <c r="J8" s="57"/>
    </row>
    <row r="9" spans="1:20" ht="18.75" x14ac:dyDescent="0.3">
      <c r="A9" s="16" t="s">
        <v>17</v>
      </c>
      <c r="B9" s="1" t="s">
        <v>529</v>
      </c>
      <c r="F9" s="57" t="str">
        <f>IF(OR($F$203=0,$H$203=0),"Veuillez renseigner des Risques/Objets","")</f>
        <v/>
      </c>
      <c r="G9" s="57"/>
      <c r="H9" s="57"/>
      <c r="I9" s="57"/>
      <c r="J9" s="57"/>
    </row>
    <row r="10" spans="1:20" x14ac:dyDescent="0.25">
      <c r="A10" s="16" t="s">
        <v>37</v>
      </c>
      <c r="B10" s="8">
        <v>43011</v>
      </c>
    </row>
    <row r="11" spans="1:20" x14ac:dyDescent="0.25">
      <c r="A11" s="16" t="s">
        <v>60</v>
      </c>
      <c r="B11" s="46"/>
      <c r="C11" s="12" t="s">
        <v>4</v>
      </c>
      <c r="D11" s="9"/>
      <c r="E11" s="3"/>
    </row>
    <row r="12" spans="1:20" x14ac:dyDescent="0.25">
      <c r="A12" s="16" t="s">
        <v>1</v>
      </c>
      <c r="B12" s="7" t="s">
        <v>161</v>
      </c>
    </row>
    <row r="13" spans="1:20" x14ac:dyDescent="0.25">
      <c r="A13" s="16" t="s">
        <v>36</v>
      </c>
      <c r="B13" s="6" t="s">
        <v>532</v>
      </c>
    </row>
    <row r="14" spans="1:20" x14ac:dyDescent="0.25">
      <c r="A14" s="16" t="s">
        <v>29</v>
      </c>
      <c r="B14" s="42">
        <f ca="1">EDATE(P3,-(MONTH(P3)-IF(MOD(MONTH(P3),3)&lt;&gt;0,MOD(MONTH(P3),3),3)))</f>
        <v>43890</v>
      </c>
      <c r="C14" s="47"/>
    </row>
    <row r="15" spans="1:20" x14ac:dyDescent="0.25">
      <c r="A15" s="16" t="s">
        <v>38</v>
      </c>
      <c r="B15" s="35">
        <v>2</v>
      </c>
    </row>
    <row r="16" spans="1:20" x14ac:dyDescent="0.25">
      <c r="A16" s="16" t="s">
        <v>2</v>
      </c>
      <c r="B16" s="35">
        <v>100</v>
      </c>
    </row>
    <row r="17" spans="1:20" x14ac:dyDescent="0.25">
      <c r="A17" s="16" t="s">
        <v>3</v>
      </c>
      <c r="B17" s="35">
        <v>100</v>
      </c>
    </row>
    <row r="18" spans="1:20" x14ac:dyDescent="0.25">
      <c r="A18" s="16" t="s">
        <v>22</v>
      </c>
      <c r="B18" s="7" t="s">
        <v>23</v>
      </c>
    </row>
    <row r="19" spans="1:20" x14ac:dyDescent="0.25">
      <c r="A19" s="28" t="s">
        <v>26</v>
      </c>
      <c r="B19" s="7" t="s">
        <v>301</v>
      </c>
      <c r="C19" s="7" t="s">
        <v>51</v>
      </c>
      <c r="D19" s="4" t="s">
        <v>25</v>
      </c>
      <c r="E19" s="3"/>
      <c r="G19" s="3"/>
      <c r="H19" s="3"/>
    </row>
    <row r="20" spans="1:20" x14ac:dyDescent="0.25">
      <c r="A20" s="16" t="s">
        <v>20</v>
      </c>
      <c r="B20" s="7">
        <v>184</v>
      </c>
      <c r="C20" s="7" t="s">
        <v>51</v>
      </c>
      <c r="D20" s="3"/>
      <c r="E20" s="3"/>
      <c r="F20" s="3"/>
      <c r="G20" s="3"/>
      <c r="H20" s="3"/>
    </row>
    <row r="21" spans="1:20" x14ac:dyDescent="0.25">
      <c r="A21" s="16" t="s">
        <v>21</v>
      </c>
      <c r="B21" s="7">
        <v>184</v>
      </c>
      <c r="C21" s="7" t="s">
        <v>51</v>
      </c>
      <c r="D21" s="3"/>
      <c r="E21" s="3"/>
      <c r="F21" s="3"/>
      <c r="G21" s="3"/>
      <c r="H21" s="3"/>
    </row>
    <row r="22" spans="1:20" x14ac:dyDescent="0.25">
      <c r="A22" s="16" t="s">
        <v>18</v>
      </c>
      <c r="B22" s="4" t="s">
        <v>305</v>
      </c>
      <c r="C22" s="4" t="s">
        <v>304</v>
      </c>
      <c r="D22" s="3"/>
      <c r="E22" s="3"/>
      <c r="F22" s="61" t="s">
        <v>464</v>
      </c>
      <c r="G22" s="61"/>
      <c r="H22" s="61"/>
      <c r="I22" s="61"/>
      <c r="J22" s="61"/>
      <c r="K22" s="61"/>
    </row>
    <row r="23" spans="1:20" x14ac:dyDescent="0.25">
      <c r="A23" s="17" t="s">
        <v>27</v>
      </c>
      <c r="B23" s="7" t="s">
        <v>28</v>
      </c>
      <c r="C23" s="3"/>
      <c r="D23" s="3"/>
      <c r="E23" s="3"/>
      <c r="F23" s="12" t="s">
        <v>468</v>
      </c>
      <c r="G23" s="1" t="s">
        <v>469</v>
      </c>
      <c r="H23" s="12" t="s">
        <v>534</v>
      </c>
      <c r="I23" s="1"/>
      <c r="J23" s="12" t="s">
        <v>465</v>
      </c>
      <c r="K23" s="1" t="s">
        <v>470</v>
      </c>
    </row>
    <row r="24" spans="1:20" x14ac:dyDescent="0.25">
      <c r="A24" s="16" t="s">
        <v>30</v>
      </c>
      <c r="B24" s="7" t="s">
        <v>53</v>
      </c>
      <c r="C24" s="4">
        <v>960.1</v>
      </c>
      <c r="D24" s="3"/>
      <c r="E24" s="3"/>
      <c r="F24" s="12" t="s">
        <v>466</v>
      </c>
      <c r="G24" s="41">
        <v>92300</v>
      </c>
      <c r="H24" s="12" t="s">
        <v>467</v>
      </c>
      <c r="I24" s="1" t="s">
        <v>471</v>
      </c>
    </row>
    <row r="25" spans="1:20" x14ac:dyDescent="0.25">
      <c r="A25" s="16" t="s">
        <v>15</v>
      </c>
      <c r="B25" s="7" t="s">
        <v>24</v>
      </c>
      <c r="O25" s="56" t="s">
        <v>331</v>
      </c>
    </row>
    <row r="26" spans="1:20" x14ac:dyDescent="0.25">
      <c r="A26" s="16" t="s">
        <v>31</v>
      </c>
      <c r="B26" s="7" t="s">
        <v>533</v>
      </c>
      <c r="O26" s="56"/>
    </row>
    <row r="27" spans="1:20" ht="15" customHeight="1" x14ac:dyDescent="0.25">
      <c r="A27" s="16" t="s">
        <v>32</v>
      </c>
      <c r="B27" s="7" t="s">
        <v>530</v>
      </c>
      <c r="O27" s="56"/>
    </row>
    <row r="28" spans="1:20" x14ac:dyDescent="0.25">
      <c r="A28" s="16" t="s">
        <v>62</v>
      </c>
      <c r="B28" s="4" t="s">
        <v>186</v>
      </c>
      <c r="O28" s="56"/>
      <c r="S28" s="18"/>
      <c r="T28" s="18"/>
    </row>
    <row r="29" spans="1:20" x14ac:dyDescent="0.25">
      <c r="A29" s="16" t="s">
        <v>33</v>
      </c>
      <c r="B29" s="7" t="s">
        <v>24</v>
      </c>
      <c r="O29" s="56"/>
    </row>
    <row r="30" spans="1:20" ht="15" customHeight="1" x14ac:dyDescent="0.25">
      <c r="A30" s="16" t="s">
        <v>54</v>
      </c>
      <c r="B30" s="1" t="s">
        <v>55</v>
      </c>
      <c r="C30" s="1" t="s">
        <v>56</v>
      </c>
      <c r="D30" s="5" t="str">
        <f>B6</f>
        <v>17045440123</v>
      </c>
      <c r="O30" s="56"/>
      <c r="S30" s="52" t="s">
        <v>59</v>
      </c>
      <c r="T30" s="53"/>
    </row>
    <row r="31" spans="1:20" x14ac:dyDescent="0.25">
      <c r="A31" s="16" t="s">
        <v>54</v>
      </c>
      <c r="B31" s="1" t="s">
        <v>57</v>
      </c>
      <c r="C31" s="1" t="s">
        <v>58</v>
      </c>
      <c r="D31" s="5" t="str">
        <f>B6</f>
        <v>17045440123</v>
      </c>
      <c r="O31" s="56"/>
      <c r="S31" s="54"/>
      <c r="T31" s="55"/>
    </row>
    <row r="32" spans="1:20" x14ac:dyDescent="0.25">
      <c r="A32" s="19" t="s">
        <v>14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56"/>
    </row>
    <row r="33" spans="1:20" x14ac:dyDescent="0.25">
      <c r="A33" s="12" t="s">
        <v>275</v>
      </c>
      <c r="B33" s="1" t="s">
        <v>34</v>
      </c>
      <c r="C33" s="1"/>
      <c r="O33" s="56"/>
    </row>
    <row r="34" spans="1:20" ht="15" customHeight="1" x14ac:dyDescent="0.25">
      <c r="A34" s="20" t="s">
        <v>7</v>
      </c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32">
        <f>COUNTIF(P34,"VRAI")</f>
        <v>1</v>
      </c>
      <c r="P34" s="36" t="b">
        <v>1</v>
      </c>
      <c r="Q34" s="35"/>
      <c r="R34" s="35"/>
      <c r="T34" s="58" t="s">
        <v>45</v>
      </c>
    </row>
    <row r="35" spans="1:20" x14ac:dyDescent="0.25">
      <c r="A35" s="12" t="s">
        <v>0</v>
      </c>
      <c r="B35" s="7" t="s">
        <v>472</v>
      </c>
      <c r="Q35" s="38"/>
      <c r="R35" s="38"/>
      <c r="T35" s="59"/>
    </row>
    <row r="36" spans="1:20" x14ac:dyDescent="0.25">
      <c r="A36" s="12" t="s">
        <v>42</v>
      </c>
      <c r="B36" s="7" t="s">
        <v>64</v>
      </c>
      <c r="Q36" s="38"/>
      <c r="R36" s="38"/>
      <c r="T36" s="59"/>
    </row>
    <row r="37" spans="1:20" x14ac:dyDescent="0.25">
      <c r="A37" s="12" t="s">
        <v>6</v>
      </c>
      <c r="B37" s="42"/>
      <c r="C37" s="22" t="s">
        <v>4</v>
      </c>
      <c r="D37" s="43"/>
      <c r="E37" s="23"/>
      <c r="Q37" s="38"/>
      <c r="R37" s="38"/>
      <c r="T37" s="59"/>
    </row>
    <row r="38" spans="1:20" x14ac:dyDescent="0.25">
      <c r="A38" s="12" t="s">
        <v>65</v>
      </c>
      <c r="B38" s="7" t="s">
        <v>267</v>
      </c>
      <c r="C38" s="24"/>
      <c r="D38" s="24"/>
      <c r="E38" s="24"/>
      <c r="Q38" s="38"/>
      <c r="R38" s="38"/>
      <c r="T38" s="59"/>
    </row>
    <row r="39" spans="1:20" x14ac:dyDescent="0.25">
      <c r="A39" s="12" t="s">
        <v>66</v>
      </c>
      <c r="B39" s="1"/>
      <c r="C39" s="1"/>
      <c r="D39" s="1"/>
      <c r="Q39" s="38"/>
      <c r="R39" s="38"/>
      <c r="T39" s="59"/>
    </row>
    <row r="40" spans="1:20" x14ac:dyDescent="0.25">
      <c r="A40" s="25" t="s">
        <v>43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31">
        <f>COUNTIF(P40,"VRAI")</f>
        <v>1</v>
      </c>
      <c r="P40" s="34" t="b">
        <v>1</v>
      </c>
      <c r="Q40" s="38"/>
      <c r="R40" s="38"/>
      <c r="S40" s="49" t="s">
        <v>44</v>
      </c>
      <c r="T40" s="59"/>
    </row>
    <row r="41" spans="1:20" x14ac:dyDescent="0.25">
      <c r="A41" s="12" t="s">
        <v>0</v>
      </c>
      <c r="B41" s="7" t="s">
        <v>63</v>
      </c>
      <c r="O41" s="31"/>
      <c r="Q41" s="38"/>
      <c r="R41" s="38"/>
      <c r="S41" s="50"/>
      <c r="T41" s="59"/>
    </row>
    <row r="42" spans="1:20" x14ac:dyDescent="0.25">
      <c r="A42" s="12" t="s">
        <v>42</v>
      </c>
      <c r="B42" s="7" t="s">
        <v>64</v>
      </c>
      <c r="C42" s="7" t="s">
        <v>67</v>
      </c>
      <c r="D42" s="7" t="s">
        <v>255</v>
      </c>
      <c r="O42" s="31"/>
      <c r="Q42" s="38"/>
      <c r="R42" s="38"/>
      <c r="S42" s="50"/>
      <c r="T42" s="59"/>
    </row>
    <row r="43" spans="1:20" x14ac:dyDescent="0.25">
      <c r="A43" s="12" t="s">
        <v>6</v>
      </c>
      <c r="B43" s="42"/>
      <c r="C43" s="22" t="s">
        <v>4</v>
      </c>
      <c r="D43" s="43"/>
      <c r="E43" s="23"/>
      <c r="O43" s="31"/>
      <c r="Q43" s="38"/>
      <c r="R43" s="38"/>
      <c r="S43" s="50"/>
      <c r="T43" s="59"/>
    </row>
    <row r="44" spans="1:20" x14ac:dyDescent="0.25">
      <c r="A44" s="12" t="s">
        <v>65</v>
      </c>
      <c r="B44" s="7"/>
      <c r="C44" s="24"/>
      <c r="D44" s="24"/>
      <c r="E44" s="24"/>
      <c r="O44" s="31"/>
      <c r="Q44" s="38"/>
      <c r="R44" s="38"/>
      <c r="S44" s="50"/>
      <c r="T44" s="59"/>
    </row>
    <row r="45" spans="1:20" x14ac:dyDescent="0.25">
      <c r="A45" s="12" t="s">
        <v>66</v>
      </c>
      <c r="B45" s="1" t="s">
        <v>475</v>
      </c>
      <c r="C45" s="2" t="s">
        <v>34</v>
      </c>
      <c r="D45" s="2" t="s">
        <v>256</v>
      </c>
      <c r="E45" s="2"/>
      <c r="O45" s="31"/>
      <c r="Q45" s="38"/>
      <c r="R45" s="38"/>
      <c r="S45" s="51"/>
      <c r="T45" s="59"/>
    </row>
    <row r="46" spans="1:20" x14ac:dyDescent="0.25">
      <c r="A46" s="25" t="s">
        <v>68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31">
        <f t="shared" ref="O46:O70" si="0">COUNTIF(P46,"VRAI")</f>
        <v>1</v>
      </c>
      <c r="P46" s="34" t="b">
        <v>1</v>
      </c>
      <c r="Q46" s="38"/>
      <c r="R46" s="38"/>
      <c r="S46" s="49" t="s">
        <v>44</v>
      </c>
      <c r="T46" s="59"/>
    </row>
    <row r="47" spans="1:20" x14ac:dyDescent="0.25">
      <c r="A47" s="12" t="s">
        <v>0</v>
      </c>
      <c r="B47" s="7" t="s">
        <v>249</v>
      </c>
      <c r="O47" s="31"/>
      <c r="Q47" s="38"/>
      <c r="R47" s="38"/>
      <c r="S47" s="50"/>
      <c r="T47" s="59"/>
    </row>
    <row r="48" spans="1:20" x14ac:dyDescent="0.25">
      <c r="A48" s="12" t="s">
        <v>42</v>
      </c>
      <c r="B48" s="7" t="s">
        <v>64</v>
      </c>
      <c r="C48" s="7" t="s">
        <v>257</v>
      </c>
      <c r="O48" s="31"/>
      <c r="Q48" s="38"/>
      <c r="R48" s="38"/>
      <c r="S48" s="50"/>
      <c r="T48" s="59"/>
    </row>
    <row r="49" spans="1:20" x14ac:dyDescent="0.25">
      <c r="A49" s="12" t="s">
        <v>6</v>
      </c>
      <c r="B49" s="42"/>
      <c r="C49" s="22" t="s">
        <v>4</v>
      </c>
      <c r="D49" s="43"/>
      <c r="E49" s="23"/>
      <c r="O49" s="31"/>
      <c r="Q49" s="38"/>
      <c r="R49" s="38"/>
      <c r="S49" s="50"/>
      <c r="T49" s="59"/>
    </row>
    <row r="50" spans="1:20" x14ac:dyDescent="0.25">
      <c r="A50" s="12" t="s">
        <v>65</v>
      </c>
      <c r="B50" s="7"/>
      <c r="C50" s="24"/>
      <c r="D50" s="24"/>
      <c r="E50" s="24"/>
      <c r="O50" s="31"/>
      <c r="Q50" s="38"/>
      <c r="R50" s="38"/>
      <c r="S50" s="50"/>
      <c r="T50" s="59"/>
    </row>
    <row r="51" spans="1:20" x14ac:dyDescent="0.25">
      <c r="A51" s="12" t="s">
        <v>66</v>
      </c>
      <c r="B51" s="1" t="s">
        <v>306</v>
      </c>
      <c r="C51" s="2" t="s">
        <v>258</v>
      </c>
      <c r="D51" s="2" t="s">
        <v>259</v>
      </c>
      <c r="E51" s="2" t="s">
        <v>260</v>
      </c>
      <c r="O51" s="31"/>
      <c r="Q51" s="38"/>
      <c r="R51" s="38"/>
      <c r="S51" s="51"/>
      <c r="T51" s="59"/>
    </row>
    <row r="52" spans="1:20" x14ac:dyDescent="0.25">
      <c r="A52" s="25" t="s">
        <v>69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31">
        <f t="shared" si="0"/>
        <v>1</v>
      </c>
      <c r="P52" s="34" t="b">
        <v>1</v>
      </c>
      <c r="Q52" s="38"/>
      <c r="R52" s="38"/>
      <c r="S52" s="49" t="s">
        <v>44</v>
      </c>
      <c r="T52" s="59"/>
    </row>
    <row r="53" spans="1:20" x14ac:dyDescent="0.25">
      <c r="A53" s="12" t="s">
        <v>0</v>
      </c>
      <c r="B53" s="7" t="s">
        <v>250</v>
      </c>
      <c r="O53" s="31"/>
      <c r="Q53" s="38"/>
      <c r="R53" s="38"/>
      <c r="S53" s="50"/>
      <c r="T53" s="59"/>
    </row>
    <row r="54" spans="1:20" x14ac:dyDescent="0.25">
      <c r="A54" s="12" t="s">
        <v>42</v>
      </c>
      <c r="B54" s="7" t="s">
        <v>64</v>
      </c>
      <c r="C54" s="7" t="s">
        <v>70</v>
      </c>
      <c r="O54" s="31"/>
      <c r="Q54" s="38"/>
      <c r="R54" s="38"/>
      <c r="S54" s="50"/>
      <c r="T54" s="59"/>
    </row>
    <row r="55" spans="1:20" x14ac:dyDescent="0.25">
      <c r="A55" s="12" t="s">
        <v>6</v>
      </c>
      <c r="B55" s="42"/>
      <c r="C55" s="22" t="s">
        <v>4</v>
      </c>
      <c r="D55" s="43"/>
      <c r="E55" s="23"/>
      <c r="O55" s="31"/>
      <c r="Q55" s="38"/>
      <c r="R55" s="38"/>
      <c r="S55" s="50"/>
      <c r="T55" s="59"/>
    </row>
    <row r="56" spans="1:20" x14ac:dyDescent="0.25">
      <c r="A56" s="12" t="s">
        <v>65</v>
      </c>
      <c r="B56" s="7"/>
      <c r="C56" s="24"/>
      <c r="D56" s="24"/>
      <c r="E56" s="24"/>
      <c r="O56" s="31"/>
      <c r="Q56" s="38"/>
      <c r="R56" s="38"/>
      <c r="S56" s="50"/>
      <c r="T56" s="59"/>
    </row>
    <row r="57" spans="1:20" x14ac:dyDescent="0.25">
      <c r="A57" s="12" t="s">
        <v>66</v>
      </c>
      <c r="B57" s="1" t="s">
        <v>307</v>
      </c>
      <c r="C57" s="2" t="s">
        <v>258</v>
      </c>
      <c r="D57" s="2" t="s">
        <v>259</v>
      </c>
      <c r="E57" s="2" t="s">
        <v>260</v>
      </c>
      <c r="O57" s="31"/>
      <c r="Q57" s="38"/>
      <c r="R57" s="38"/>
      <c r="S57" s="51"/>
      <c r="T57" s="59"/>
    </row>
    <row r="58" spans="1:20" x14ac:dyDescent="0.25">
      <c r="A58" s="25" t="s">
        <v>261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31">
        <f t="shared" si="0"/>
        <v>1</v>
      </c>
      <c r="P58" s="34" t="b">
        <v>1</v>
      </c>
      <c r="Q58" s="38"/>
      <c r="R58" s="38"/>
      <c r="S58" s="49" t="s">
        <v>44</v>
      </c>
      <c r="T58" s="59"/>
    </row>
    <row r="59" spans="1:20" x14ac:dyDescent="0.25">
      <c r="A59" s="12" t="s">
        <v>0</v>
      </c>
      <c r="B59" s="7" t="s">
        <v>251</v>
      </c>
      <c r="O59" s="31"/>
      <c r="Q59" s="38"/>
      <c r="R59" s="38"/>
      <c r="S59" s="50"/>
      <c r="T59" s="59"/>
    </row>
    <row r="60" spans="1:20" x14ac:dyDescent="0.25">
      <c r="A60" s="12" t="s">
        <v>42</v>
      </c>
      <c r="B60" s="7" t="s">
        <v>64</v>
      </c>
      <c r="C60" s="7" t="s">
        <v>70</v>
      </c>
      <c r="D60" s="3"/>
      <c r="E60" s="3"/>
      <c r="O60" s="31"/>
      <c r="Q60" s="38"/>
      <c r="R60" s="38"/>
      <c r="S60" s="50"/>
      <c r="T60" s="59"/>
    </row>
    <row r="61" spans="1:20" x14ac:dyDescent="0.25">
      <c r="A61" s="12" t="s">
        <v>6</v>
      </c>
      <c r="B61" s="42"/>
      <c r="C61" s="22" t="s">
        <v>4</v>
      </c>
      <c r="D61" s="43"/>
      <c r="E61" s="23"/>
      <c r="O61" s="31"/>
      <c r="Q61" s="38"/>
      <c r="R61" s="38"/>
      <c r="S61" s="50"/>
      <c r="T61" s="59"/>
    </row>
    <row r="62" spans="1:20" x14ac:dyDescent="0.25">
      <c r="A62" s="12" t="s">
        <v>65</v>
      </c>
      <c r="B62" s="7"/>
      <c r="C62" s="24"/>
      <c r="D62" s="24"/>
      <c r="E62" s="24"/>
      <c r="O62" s="31"/>
      <c r="Q62" s="38"/>
      <c r="R62" s="38"/>
      <c r="S62" s="50"/>
      <c r="T62" s="59"/>
    </row>
    <row r="63" spans="1:20" x14ac:dyDescent="0.25">
      <c r="A63" s="12" t="s">
        <v>66</v>
      </c>
      <c r="B63" s="1" t="s">
        <v>308</v>
      </c>
      <c r="C63" s="2" t="s">
        <v>258</v>
      </c>
      <c r="D63" s="2" t="s">
        <v>259</v>
      </c>
      <c r="E63" s="2" t="s">
        <v>260</v>
      </c>
      <c r="O63" s="31"/>
      <c r="Q63" s="38"/>
      <c r="R63" s="38"/>
      <c r="S63" s="51"/>
      <c r="T63" s="59"/>
    </row>
    <row r="64" spans="1:20" x14ac:dyDescent="0.25">
      <c r="A64" s="25" t="s">
        <v>262</v>
      </c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31">
        <f t="shared" si="0"/>
        <v>1</v>
      </c>
      <c r="P64" s="34" t="b">
        <v>1</v>
      </c>
      <c r="Q64" s="38"/>
      <c r="R64" s="38"/>
      <c r="S64" s="49" t="s">
        <v>44</v>
      </c>
      <c r="T64" s="59"/>
    </row>
    <row r="65" spans="1:20" x14ac:dyDescent="0.25">
      <c r="A65" s="12" t="s">
        <v>0</v>
      </c>
      <c r="B65" s="7" t="s">
        <v>252</v>
      </c>
      <c r="O65" s="31"/>
      <c r="Q65" s="38"/>
      <c r="R65" s="38"/>
      <c r="S65" s="50"/>
      <c r="T65" s="59"/>
    </row>
    <row r="66" spans="1:20" x14ac:dyDescent="0.25">
      <c r="A66" s="12" t="s">
        <v>42</v>
      </c>
      <c r="B66" s="7" t="s">
        <v>64</v>
      </c>
      <c r="C66" s="7" t="s">
        <v>268</v>
      </c>
      <c r="O66" s="31"/>
      <c r="Q66" s="38"/>
      <c r="R66" s="38"/>
      <c r="S66" s="50"/>
      <c r="T66" s="59"/>
    </row>
    <row r="67" spans="1:20" x14ac:dyDescent="0.25">
      <c r="A67" s="12" t="s">
        <v>6</v>
      </c>
      <c r="B67" s="42"/>
      <c r="C67" s="22" t="s">
        <v>4</v>
      </c>
      <c r="D67" s="43"/>
      <c r="E67" s="23"/>
      <c r="O67" s="31"/>
      <c r="Q67" s="38"/>
      <c r="R67" s="38"/>
      <c r="S67" s="50"/>
      <c r="T67" s="59"/>
    </row>
    <row r="68" spans="1:20" x14ac:dyDescent="0.25">
      <c r="A68" s="12" t="s">
        <v>65</v>
      </c>
      <c r="B68" s="7"/>
      <c r="C68" s="24"/>
      <c r="D68" s="24"/>
      <c r="E68" s="24"/>
      <c r="O68" s="31"/>
      <c r="Q68" s="38"/>
      <c r="R68" s="38"/>
      <c r="S68" s="50"/>
      <c r="T68" s="59"/>
    </row>
    <row r="69" spans="1:20" x14ac:dyDescent="0.25">
      <c r="A69" s="12" t="s">
        <v>66</v>
      </c>
      <c r="B69" s="1" t="s">
        <v>309</v>
      </c>
      <c r="C69" s="2" t="s">
        <v>258</v>
      </c>
      <c r="D69" s="2" t="s">
        <v>259</v>
      </c>
      <c r="E69" s="2" t="s">
        <v>260</v>
      </c>
      <c r="O69" s="31"/>
      <c r="Q69" s="38"/>
      <c r="R69" s="38"/>
      <c r="S69" s="51"/>
      <c r="T69" s="59"/>
    </row>
    <row r="70" spans="1:20" x14ac:dyDescent="0.25">
      <c r="A70" s="25" t="s">
        <v>264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31">
        <f t="shared" si="0"/>
        <v>1</v>
      </c>
      <c r="P70" s="34" t="b">
        <v>1</v>
      </c>
      <c r="Q70" s="38"/>
      <c r="R70" s="38"/>
      <c r="S70" s="49" t="s">
        <v>44</v>
      </c>
      <c r="T70" s="59"/>
    </row>
    <row r="71" spans="1:20" x14ac:dyDescent="0.25">
      <c r="A71" s="12" t="s">
        <v>0</v>
      </c>
      <c r="B71" s="7" t="s">
        <v>253</v>
      </c>
      <c r="O71" s="31"/>
      <c r="Q71" s="38"/>
      <c r="R71" s="38"/>
      <c r="S71" s="50"/>
      <c r="T71" s="59"/>
    </row>
    <row r="72" spans="1:20" x14ac:dyDescent="0.25">
      <c r="A72" s="12" t="s">
        <v>42</v>
      </c>
      <c r="B72" s="7" t="s">
        <v>269</v>
      </c>
      <c r="C72" s="7" t="s">
        <v>270</v>
      </c>
      <c r="O72" s="31"/>
      <c r="Q72" s="38"/>
      <c r="R72" s="38"/>
      <c r="S72" s="50"/>
      <c r="T72" s="59"/>
    </row>
    <row r="73" spans="1:20" x14ac:dyDescent="0.25">
      <c r="A73" s="12" t="s">
        <v>6</v>
      </c>
      <c r="B73" s="7"/>
      <c r="C73" s="22" t="s">
        <v>4</v>
      </c>
      <c r="D73" s="43"/>
      <c r="E73" s="23"/>
      <c r="O73" s="31"/>
      <c r="Q73" s="38"/>
      <c r="R73" s="38"/>
      <c r="S73" s="50"/>
      <c r="T73" s="59"/>
    </row>
    <row r="74" spans="1:20" x14ac:dyDescent="0.25">
      <c r="A74" s="12" t="s">
        <v>65</v>
      </c>
      <c r="B74" s="42"/>
      <c r="C74" s="24"/>
      <c r="D74" s="24"/>
      <c r="E74" s="24"/>
      <c r="O74" s="31"/>
      <c r="Q74" s="38"/>
      <c r="R74" s="38"/>
      <c r="S74" s="50"/>
      <c r="T74" s="59"/>
    </row>
    <row r="75" spans="1:20" x14ac:dyDescent="0.25">
      <c r="A75" s="12" t="s">
        <v>66</v>
      </c>
      <c r="B75" s="1" t="s">
        <v>309</v>
      </c>
      <c r="C75" s="2" t="s">
        <v>258</v>
      </c>
      <c r="D75" s="2" t="s">
        <v>340</v>
      </c>
      <c r="E75" s="2" t="s">
        <v>260</v>
      </c>
      <c r="O75" s="31"/>
      <c r="Q75" s="38"/>
      <c r="R75" s="38"/>
      <c r="S75" s="51"/>
      <c r="T75" s="59"/>
    </row>
    <row r="76" spans="1:20" x14ac:dyDescent="0.25">
      <c r="A76" s="25" t="s">
        <v>266</v>
      </c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31">
        <f>COUNTIF(P76,"VRAI")</f>
        <v>1</v>
      </c>
      <c r="P76" s="34" t="b">
        <v>1</v>
      </c>
      <c r="Q76" s="38"/>
      <c r="R76" s="38"/>
      <c r="S76" s="62" t="s">
        <v>44</v>
      </c>
      <c r="T76" s="59"/>
    </row>
    <row r="77" spans="1:20" x14ac:dyDescent="0.25">
      <c r="A77" s="12" t="s">
        <v>0</v>
      </c>
      <c r="B77" s="7" t="s">
        <v>254</v>
      </c>
      <c r="Q77" s="38"/>
      <c r="R77" s="38"/>
      <c r="S77" s="63"/>
      <c r="T77" s="59"/>
    </row>
    <row r="78" spans="1:20" x14ac:dyDescent="0.25">
      <c r="A78" s="12" t="s">
        <v>42</v>
      </c>
      <c r="B78" s="7" t="s">
        <v>64</v>
      </c>
      <c r="C78" s="7" t="s">
        <v>271</v>
      </c>
      <c r="Q78" s="38"/>
      <c r="R78" s="38"/>
      <c r="S78" s="63"/>
      <c r="T78" s="59"/>
    </row>
    <row r="79" spans="1:20" x14ac:dyDescent="0.25">
      <c r="A79" s="12" t="s">
        <v>6</v>
      </c>
      <c r="B79" s="42"/>
      <c r="C79" s="22" t="s">
        <v>4</v>
      </c>
      <c r="D79" s="43"/>
      <c r="E79" s="23"/>
      <c r="Q79" s="38"/>
      <c r="R79" s="38"/>
      <c r="S79" s="63"/>
      <c r="T79" s="59"/>
    </row>
    <row r="80" spans="1:20" x14ac:dyDescent="0.25">
      <c r="A80" s="12" t="s">
        <v>65</v>
      </c>
      <c r="B80" s="7"/>
      <c r="C80" s="24"/>
      <c r="D80" s="24"/>
      <c r="E80" s="24"/>
      <c r="Q80" s="38"/>
      <c r="R80" s="38"/>
      <c r="S80" s="63"/>
      <c r="T80" s="59"/>
    </row>
    <row r="81" spans="1:20" x14ac:dyDescent="0.25">
      <c r="A81" s="12" t="s">
        <v>66</v>
      </c>
      <c r="B81" s="1" t="s">
        <v>309</v>
      </c>
      <c r="C81" s="2" t="s">
        <v>258</v>
      </c>
      <c r="D81" s="2" t="s">
        <v>265</v>
      </c>
      <c r="E81" s="2" t="s">
        <v>260</v>
      </c>
      <c r="Q81" s="38"/>
      <c r="R81" s="38"/>
      <c r="S81" s="64"/>
      <c r="T81" s="59"/>
    </row>
    <row r="82" spans="1:20" ht="15" customHeight="1" x14ac:dyDescent="0.25">
      <c r="A82" s="19" t="s">
        <v>8</v>
      </c>
      <c r="B82" s="12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Q82" s="38"/>
      <c r="R82" s="38"/>
      <c r="S82" s="49" t="s">
        <v>46</v>
      </c>
      <c r="T82" s="59"/>
    </row>
    <row r="83" spans="1:20" x14ac:dyDescent="0.25">
      <c r="A83" s="21" t="s">
        <v>40</v>
      </c>
      <c r="B83" s="21" t="s">
        <v>431</v>
      </c>
      <c r="C83" s="65" t="s">
        <v>9</v>
      </c>
      <c r="D83" s="65"/>
      <c r="E83" s="65"/>
      <c r="F83" s="65" t="s">
        <v>10</v>
      </c>
      <c r="G83" s="65"/>
      <c r="H83" s="65"/>
      <c r="I83" s="65" t="s">
        <v>11</v>
      </c>
      <c r="J83" s="65"/>
      <c r="K83" s="65"/>
      <c r="L83" s="65" t="s">
        <v>12</v>
      </c>
      <c r="M83" s="65"/>
      <c r="N83" s="65"/>
      <c r="O83" s="31">
        <f>COUNTIF(P83,"VRAI")</f>
        <v>1</v>
      </c>
      <c r="P83" s="34" t="b">
        <v>1</v>
      </c>
      <c r="Q83" s="38"/>
      <c r="R83" s="38">
        <v>1</v>
      </c>
      <c r="S83" s="50"/>
      <c r="T83" s="59"/>
    </row>
    <row r="84" spans="1:20" x14ac:dyDescent="0.25">
      <c r="A84" s="26" t="s">
        <v>39</v>
      </c>
      <c r="B84" s="26" t="s">
        <v>432</v>
      </c>
      <c r="C84" s="40" t="s">
        <v>477</v>
      </c>
      <c r="D84" s="40" t="s">
        <v>333</v>
      </c>
      <c r="E84" s="40" t="s">
        <v>336</v>
      </c>
      <c r="F84" s="40" t="s">
        <v>477</v>
      </c>
      <c r="G84" s="40" t="s">
        <v>333</v>
      </c>
      <c r="H84" s="40" t="s">
        <v>336</v>
      </c>
      <c r="I84" s="40" t="s">
        <v>477</v>
      </c>
      <c r="J84" s="40" t="s">
        <v>333</v>
      </c>
      <c r="K84" s="40" t="s">
        <v>336</v>
      </c>
      <c r="L84" s="40" t="s">
        <v>477</v>
      </c>
      <c r="M84" s="40" t="s">
        <v>333</v>
      </c>
      <c r="N84" s="40" t="s">
        <v>478</v>
      </c>
      <c r="O84" s="37">
        <f t="shared" ref="O84:O90" si="1">COUNTIF(P84,"VRAI")</f>
        <v>1</v>
      </c>
      <c r="P84" s="36" t="b">
        <v>1</v>
      </c>
      <c r="Q84" s="35"/>
      <c r="R84" s="38">
        <v>11</v>
      </c>
      <c r="S84" s="50"/>
      <c r="T84" s="59"/>
    </row>
    <row r="85" spans="1:20" x14ac:dyDescent="0.25">
      <c r="A85" s="27" t="s">
        <v>361</v>
      </c>
      <c r="B85" s="5" t="s">
        <v>411</v>
      </c>
      <c r="C85" s="2" t="s">
        <v>311</v>
      </c>
      <c r="D85" s="2" t="s">
        <v>311</v>
      </c>
      <c r="E85" s="2" t="s">
        <v>311</v>
      </c>
      <c r="F85" s="2" t="s">
        <v>311</v>
      </c>
      <c r="G85" s="2" t="s">
        <v>311</v>
      </c>
      <c r="H85" s="2" t="s">
        <v>311</v>
      </c>
      <c r="I85" s="4" t="s">
        <v>311</v>
      </c>
      <c r="J85" s="2" t="s">
        <v>256</v>
      </c>
      <c r="K85" s="2" t="s">
        <v>277</v>
      </c>
      <c r="L85" s="1"/>
      <c r="M85" s="2" t="s">
        <v>258</v>
      </c>
      <c r="N85" s="2"/>
      <c r="O85" s="37">
        <f t="shared" si="1"/>
        <v>1</v>
      </c>
      <c r="P85" s="36" t="b">
        <v>1</v>
      </c>
      <c r="Q85" s="35"/>
      <c r="R85" s="38">
        <v>111</v>
      </c>
      <c r="S85" s="50"/>
      <c r="T85" s="59"/>
    </row>
    <row r="86" spans="1:20" x14ac:dyDescent="0.25">
      <c r="A86" s="27" t="s">
        <v>361</v>
      </c>
      <c r="B86" s="5" t="s">
        <v>412</v>
      </c>
      <c r="C86" s="2" t="s">
        <v>311</v>
      </c>
      <c r="D86" s="2" t="s">
        <v>311</v>
      </c>
      <c r="E86" s="2" t="s">
        <v>311</v>
      </c>
      <c r="F86" s="2" t="s">
        <v>311</v>
      </c>
      <c r="G86" s="2" t="s">
        <v>311</v>
      </c>
      <c r="H86" s="2" t="s">
        <v>311</v>
      </c>
      <c r="I86" s="4" t="s">
        <v>311</v>
      </c>
      <c r="J86" s="2" t="s">
        <v>258</v>
      </c>
      <c r="K86" s="2" t="s">
        <v>259</v>
      </c>
      <c r="L86" s="1" t="s">
        <v>291</v>
      </c>
      <c r="M86" s="2" t="s">
        <v>299</v>
      </c>
      <c r="N86" s="4"/>
      <c r="O86" s="37">
        <f t="shared" si="1"/>
        <v>1</v>
      </c>
      <c r="P86" s="36" t="b">
        <v>1</v>
      </c>
      <c r="Q86" s="35"/>
      <c r="R86" s="38">
        <v>112</v>
      </c>
      <c r="S86" s="50"/>
      <c r="T86" s="59"/>
    </row>
    <row r="87" spans="1:20" x14ac:dyDescent="0.25">
      <c r="A87" s="27" t="s">
        <v>361</v>
      </c>
      <c r="B87" s="5" t="s">
        <v>413</v>
      </c>
      <c r="C87" s="2" t="s">
        <v>311</v>
      </c>
      <c r="D87" s="2" t="s">
        <v>311</v>
      </c>
      <c r="E87" s="2" t="s">
        <v>311</v>
      </c>
      <c r="F87" s="2" t="s">
        <v>311</v>
      </c>
      <c r="G87" s="2" t="s">
        <v>311</v>
      </c>
      <c r="H87" s="2" t="s">
        <v>311</v>
      </c>
      <c r="I87" s="4" t="s">
        <v>311</v>
      </c>
      <c r="J87" s="2" t="s">
        <v>258</v>
      </c>
      <c r="K87" s="2" t="s">
        <v>259</v>
      </c>
      <c r="L87" s="1" t="s">
        <v>291</v>
      </c>
      <c r="M87" s="2" t="s">
        <v>299</v>
      </c>
      <c r="N87" s="4"/>
      <c r="O87" s="31">
        <f t="shared" si="1"/>
        <v>1</v>
      </c>
      <c r="P87" s="34" t="b">
        <v>1</v>
      </c>
      <c r="Q87" s="38"/>
      <c r="R87" s="38">
        <v>113</v>
      </c>
      <c r="S87" s="50"/>
      <c r="T87" s="59"/>
    </row>
    <row r="88" spans="1:20" x14ac:dyDescent="0.25">
      <c r="A88" s="27" t="s">
        <v>361</v>
      </c>
      <c r="B88" s="5" t="s">
        <v>414</v>
      </c>
      <c r="C88" s="2" t="s">
        <v>311</v>
      </c>
      <c r="D88" s="2" t="s">
        <v>311</v>
      </c>
      <c r="E88" s="2" t="s">
        <v>311</v>
      </c>
      <c r="F88" s="2" t="s">
        <v>311</v>
      </c>
      <c r="G88" s="2" t="s">
        <v>311</v>
      </c>
      <c r="H88" s="2" t="s">
        <v>311</v>
      </c>
      <c r="I88" s="4" t="s">
        <v>311</v>
      </c>
      <c r="J88" s="2" t="s">
        <v>258</v>
      </c>
      <c r="K88" s="2" t="s">
        <v>340</v>
      </c>
      <c r="L88" s="1" t="s">
        <v>300</v>
      </c>
      <c r="M88" s="2" t="s">
        <v>299</v>
      </c>
      <c r="N88" s="4"/>
      <c r="O88" s="31">
        <f t="shared" si="1"/>
        <v>1</v>
      </c>
      <c r="P88" s="34" t="b">
        <v>1</v>
      </c>
      <c r="Q88" s="38"/>
      <c r="R88" s="38">
        <v>114</v>
      </c>
      <c r="S88" s="50"/>
      <c r="T88" s="59"/>
    </row>
    <row r="89" spans="1:20" x14ac:dyDescent="0.25">
      <c r="A89" s="27" t="s">
        <v>361</v>
      </c>
      <c r="B89" s="5" t="s">
        <v>415</v>
      </c>
      <c r="C89" s="2" t="s">
        <v>311</v>
      </c>
      <c r="D89" s="2" t="s">
        <v>311</v>
      </c>
      <c r="E89" s="2" t="s">
        <v>311</v>
      </c>
      <c r="F89" s="2" t="s">
        <v>311</v>
      </c>
      <c r="G89" s="2" t="s">
        <v>311</v>
      </c>
      <c r="H89" s="2" t="s">
        <v>311</v>
      </c>
      <c r="I89" s="4" t="s">
        <v>311</v>
      </c>
      <c r="J89" s="2" t="s">
        <v>258</v>
      </c>
      <c r="K89" s="2" t="s">
        <v>476</v>
      </c>
      <c r="L89" s="1" t="s">
        <v>294</v>
      </c>
      <c r="M89" s="2" t="s">
        <v>299</v>
      </c>
      <c r="N89" s="4"/>
      <c r="O89" s="31">
        <f t="shared" si="1"/>
        <v>1</v>
      </c>
      <c r="P89" s="34" t="b">
        <v>1</v>
      </c>
      <c r="Q89" s="38"/>
      <c r="R89" s="38">
        <v>115</v>
      </c>
      <c r="S89" s="50"/>
      <c r="T89" s="59"/>
    </row>
    <row r="90" spans="1:20" x14ac:dyDescent="0.25">
      <c r="A90" s="27" t="s">
        <v>361</v>
      </c>
      <c r="B90" s="5" t="s">
        <v>416</v>
      </c>
      <c r="C90" s="2" t="s">
        <v>311</v>
      </c>
      <c r="D90" s="2" t="s">
        <v>311</v>
      </c>
      <c r="E90" s="2" t="s">
        <v>311</v>
      </c>
      <c r="F90" s="2" t="s">
        <v>311</v>
      </c>
      <c r="G90" s="2" t="s">
        <v>311</v>
      </c>
      <c r="H90" s="2" t="s">
        <v>311</v>
      </c>
      <c r="I90" s="4" t="s">
        <v>311</v>
      </c>
      <c r="J90" s="2" t="s">
        <v>256</v>
      </c>
      <c r="K90" s="2" t="s">
        <v>277</v>
      </c>
      <c r="L90" s="1"/>
      <c r="M90" s="2" t="s">
        <v>258</v>
      </c>
      <c r="N90" s="2"/>
      <c r="O90" s="31">
        <f t="shared" si="1"/>
        <v>1</v>
      </c>
      <c r="P90" s="34" t="b">
        <v>1</v>
      </c>
      <c r="Q90" s="38"/>
      <c r="R90" s="38">
        <v>116</v>
      </c>
      <c r="S90" s="50"/>
      <c r="T90" s="59"/>
    </row>
    <row r="91" spans="1:20" x14ac:dyDescent="0.25">
      <c r="A91" s="21" t="s">
        <v>40</v>
      </c>
      <c r="B91" s="21" t="s">
        <v>444</v>
      </c>
      <c r="C91" s="65" t="s">
        <v>9</v>
      </c>
      <c r="D91" s="65"/>
      <c r="E91" s="65"/>
      <c r="F91" s="65" t="s">
        <v>10</v>
      </c>
      <c r="G91" s="65"/>
      <c r="H91" s="65"/>
      <c r="I91" s="65" t="s">
        <v>11</v>
      </c>
      <c r="J91" s="65"/>
      <c r="K91" s="65"/>
      <c r="L91" s="65" t="s">
        <v>12</v>
      </c>
      <c r="M91" s="65"/>
      <c r="N91" s="65"/>
      <c r="O91" s="31">
        <f>COUNTIF(P91,"VRAI")</f>
        <v>1</v>
      </c>
      <c r="P91" s="34" t="b">
        <v>1</v>
      </c>
      <c r="Q91" s="38"/>
      <c r="R91" s="38">
        <v>2</v>
      </c>
      <c r="S91" s="50"/>
      <c r="T91" s="59"/>
    </row>
    <row r="92" spans="1:20" x14ac:dyDescent="0.25">
      <c r="A92" s="26" t="s">
        <v>39</v>
      </c>
      <c r="B92" s="26" t="s">
        <v>443</v>
      </c>
      <c r="C92" s="40" t="s">
        <v>477</v>
      </c>
      <c r="D92" s="40" t="s">
        <v>333</v>
      </c>
      <c r="E92" s="40" t="s">
        <v>336</v>
      </c>
      <c r="F92" s="40" t="s">
        <v>477</v>
      </c>
      <c r="G92" s="40" t="s">
        <v>333</v>
      </c>
      <c r="H92" s="40" t="s">
        <v>336</v>
      </c>
      <c r="I92" s="40" t="s">
        <v>477</v>
      </c>
      <c r="J92" s="40" t="s">
        <v>333</v>
      </c>
      <c r="K92" s="40" t="s">
        <v>336</v>
      </c>
      <c r="L92" s="40" t="s">
        <v>477</v>
      </c>
      <c r="M92" s="40" t="s">
        <v>333</v>
      </c>
      <c r="N92" s="40" t="s">
        <v>478</v>
      </c>
      <c r="O92" s="32">
        <f>COUNTIF(P92,"VRAI")</f>
        <v>1</v>
      </c>
      <c r="P92" s="36" t="b">
        <v>1</v>
      </c>
      <c r="Q92" s="35"/>
      <c r="R92" s="38">
        <v>21</v>
      </c>
      <c r="S92" s="50"/>
      <c r="T92" s="59"/>
    </row>
    <row r="93" spans="1:20" x14ac:dyDescent="0.25">
      <c r="A93" s="27" t="s">
        <v>361</v>
      </c>
      <c r="B93" s="5" t="s">
        <v>417</v>
      </c>
      <c r="C93" s="2" t="s">
        <v>311</v>
      </c>
      <c r="D93" s="2" t="s">
        <v>311</v>
      </c>
      <c r="E93" s="2" t="s">
        <v>311</v>
      </c>
      <c r="F93" s="2" t="s">
        <v>311</v>
      </c>
      <c r="G93" s="2" t="s">
        <v>285</v>
      </c>
      <c r="H93" s="2" t="s">
        <v>286</v>
      </c>
      <c r="I93" s="2" t="s">
        <v>311</v>
      </c>
      <c r="J93" s="2" t="s">
        <v>311</v>
      </c>
      <c r="K93" s="2" t="s">
        <v>311</v>
      </c>
      <c r="L93" s="2" t="s">
        <v>311</v>
      </c>
      <c r="M93" s="2" t="s">
        <v>311</v>
      </c>
      <c r="N93" s="2" t="s">
        <v>311</v>
      </c>
      <c r="O93" s="32">
        <f t="shared" ref="O93:O142" si="2">COUNTIF(P93,"VRAI")</f>
        <v>1</v>
      </c>
      <c r="P93" s="36" t="b">
        <v>1</v>
      </c>
      <c r="Q93" s="35"/>
      <c r="R93" s="38">
        <v>211</v>
      </c>
      <c r="S93" s="50"/>
      <c r="T93" s="59"/>
    </row>
    <row r="94" spans="1:20" x14ac:dyDescent="0.25">
      <c r="A94" s="27" t="s">
        <v>429</v>
      </c>
      <c r="B94" s="5" t="s">
        <v>351</v>
      </c>
      <c r="C94" s="2" t="s">
        <v>311</v>
      </c>
      <c r="D94" s="2" t="s">
        <v>311</v>
      </c>
      <c r="E94" s="2" t="s">
        <v>311</v>
      </c>
      <c r="F94" s="2" t="s">
        <v>311</v>
      </c>
      <c r="G94" s="2" t="s">
        <v>285</v>
      </c>
      <c r="H94" s="2" t="s">
        <v>480</v>
      </c>
      <c r="I94" s="2" t="s">
        <v>311</v>
      </c>
      <c r="J94" s="2" t="s">
        <v>311</v>
      </c>
      <c r="K94" s="2" t="s">
        <v>311</v>
      </c>
      <c r="L94" s="2" t="s">
        <v>311</v>
      </c>
      <c r="M94" s="2" t="s">
        <v>311</v>
      </c>
      <c r="N94" s="2" t="s">
        <v>311</v>
      </c>
      <c r="O94" s="29">
        <f t="shared" si="2"/>
        <v>0</v>
      </c>
      <c r="P94" s="34" t="b">
        <v>0</v>
      </c>
      <c r="Q94" s="38"/>
      <c r="R94" s="38">
        <v>2111</v>
      </c>
      <c r="S94" s="50"/>
      <c r="T94" s="59"/>
    </row>
    <row r="95" spans="1:20" x14ac:dyDescent="0.25">
      <c r="A95" s="27" t="s">
        <v>429</v>
      </c>
      <c r="B95" s="5" t="s">
        <v>360</v>
      </c>
      <c r="C95" s="2" t="s">
        <v>311</v>
      </c>
      <c r="D95" s="2" t="s">
        <v>311</v>
      </c>
      <c r="E95" s="2" t="s">
        <v>311</v>
      </c>
      <c r="F95" s="2" t="s">
        <v>311</v>
      </c>
      <c r="G95" s="2" t="s">
        <v>285</v>
      </c>
      <c r="H95" s="2" t="s">
        <v>481</v>
      </c>
      <c r="I95" s="2" t="s">
        <v>311</v>
      </c>
      <c r="J95" s="2" t="s">
        <v>311</v>
      </c>
      <c r="K95" s="2" t="s">
        <v>311</v>
      </c>
      <c r="L95" s="2" t="s">
        <v>311</v>
      </c>
      <c r="M95" s="2" t="s">
        <v>311</v>
      </c>
      <c r="N95" s="2" t="s">
        <v>311</v>
      </c>
      <c r="O95" s="32">
        <f t="shared" si="2"/>
        <v>1</v>
      </c>
      <c r="P95" s="36" t="b">
        <v>1</v>
      </c>
      <c r="Q95" s="35"/>
      <c r="R95" s="38">
        <v>2112</v>
      </c>
      <c r="S95" s="50"/>
      <c r="T95" s="59"/>
    </row>
    <row r="96" spans="1:20" x14ac:dyDescent="0.25">
      <c r="A96" s="27" t="s">
        <v>429</v>
      </c>
      <c r="B96" s="5" t="s">
        <v>473</v>
      </c>
      <c r="C96" s="2" t="s">
        <v>311</v>
      </c>
      <c r="D96" s="2" t="s">
        <v>311</v>
      </c>
      <c r="E96" s="2" t="s">
        <v>311</v>
      </c>
      <c r="F96" s="44"/>
      <c r="G96" s="2" t="s">
        <v>285</v>
      </c>
      <c r="H96" s="2" t="s">
        <v>482</v>
      </c>
      <c r="I96" s="2" t="s">
        <v>311</v>
      </c>
      <c r="J96" s="2" t="s">
        <v>311</v>
      </c>
      <c r="K96" s="2" t="s">
        <v>311</v>
      </c>
      <c r="L96" s="3" t="s">
        <v>311</v>
      </c>
      <c r="M96" s="2" t="s">
        <v>299</v>
      </c>
      <c r="N96" s="2" t="s">
        <v>311</v>
      </c>
      <c r="O96" s="32">
        <f t="shared" si="2"/>
        <v>1</v>
      </c>
      <c r="P96" s="36" t="b">
        <v>1</v>
      </c>
      <c r="Q96" s="35"/>
      <c r="R96" s="38">
        <v>2113</v>
      </c>
      <c r="S96" s="50"/>
      <c r="T96" s="59"/>
    </row>
    <row r="97" spans="1:20" x14ac:dyDescent="0.25">
      <c r="A97" s="27" t="s">
        <v>429</v>
      </c>
      <c r="B97" s="5" t="s">
        <v>474</v>
      </c>
      <c r="C97" s="2" t="s">
        <v>311</v>
      </c>
      <c r="D97" s="2" t="s">
        <v>311</v>
      </c>
      <c r="E97" s="2" t="s">
        <v>311</v>
      </c>
      <c r="F97" s="44"/>
      <c r="G97" s="2" t="s">
        <v>285</v>
      </c>
      <c r="H97" s="2" t="s">
        <v>483</v>
      </c>
      <c r="I97" s="2" t="s">
        <v>311</v>
      </c>
      <c r="J97" s="2" t="s">
        <v>311</v>
      </c>
      <c r="K97" s="2" t="s">
        <v>311</v>
      </c>
      <c r="L97" s="3" t="s">
        <v>311</v>
      </c>
      <c r="M97" s="2" t="s">
        <v>299</v>
      </c>
      <c r="N97" s="2" t="s">
        <v>311</v>
      </c>
      <c r="O97" s="32">
        <f t="shared" si="2"/>
        <v>1</v>
      </c>
      <c r="P97" s="36" t="b">
        <v>1</v>
      </c>
      <c r="Q97" s="35"/>
      <c r="R97" s="38">
        <v>2114</v>
      </c>
      <c r="S97" s="50"/>
      <c r="T97" s="59"/>
    </row>
    <row r="98" spans="1:20" x14ac:dyDescent="0.25">
      <c r="A98" s="27" t="s">
        <v>429</v>
      </c>
      <c r="B98" s="5" t="s">
        <v>375</v>
      </c>
      <c r="C98" s="2" t="s">
        <v>311</v>
      </c>
      <c r="D98" s="2" t="s">
        <v>311</v>
      </c>
      <c r="E98" s="2" t="s">
        <v>311</v>
      </c>
      <c r="F98" s="2" t="s">
        <v>518</v>
      </c>
      <c r="G98" s="2" t="s">
        <v>479</v>
      </c>
      <c r="H98" s="2" t="s">
        <v>278</v>
      </c>
      <c r="I98" s="2" t="s">
        <v>311</v>
      </c>
      <c r="J98" s="2" t="s">
        <v>311</v>
      </c>
      <c r="K98" s="2" t="s">
        <v>311</v>
      </c>
      <c r="L98" s="2" t="s">
        <v>311</v>
      </c>
      <c r="M98" s="2" t="s">
        <v>311</v>
      </c>
      <c r="N98" s="2" t="s">
        <v>311</v>
      </c>
      <c r="O98" s="32">
        <f t="shared" si="2"/>
        <v>1</v>
      </c>
      <c r="P98" s="36" t="b">
        <v>1</v>
      </c>
      <c r="Q98" s="35"/>
      <c r="R98" s="38">
        <v>2115</v>
      </c>
      <c r="S98" s="50"/>
      <c r="T98" s="59"/>
    </row>
    <row r="99" spans="1:20" x14ac:dyDescent="0.25">
      <c r="A99" s="27" t="s">
        <v>429</v>
      </c>
      <c r="B99" s="5" t="s">
        <v>381</v>
      </c>
      <c r="C99" s="2" t="s">
        <v>311</v>
      </c>
      <c r="D99" s="2" t="s">
        <v>311</v>
      </c>
      <c r="E99" s="2" t="s">
        <v>311</v>
      </c>
      <c r="F99" s="2" t="s">
        <v>311</v>
      </c>
      <c r="G99" s="2" t="s">
        <v>285</v>
      </c>
      <c r="H99" s="2" t="s">
        <v>484</v>
      </c>
      <c r="I99" s="2" t="s">
        <v>311</v>
      </c>
      <c r="J99" s="2" t="s">
        <v>311</v>
      </c>
      <c r="K99" s="2" t="s">
        <v>311</v>
      </c>
      <c r="L99" s="2" t="s">
        <v>311</v>
      </c>
      <c r="M99" s="2" t="s">
        <v>311</v>
      </c>
      <c r="N99" s="2" t="s">
        <v>311</v>
      </c>
      <c r="O99" s="32">
        <f t="shared" si="2"/>
        <v>1</v>
      </c>
      <c r="P99" s="36" t="b">
        <v>1</v>
      </c>
      <c r="Q99" s="35"/>
      <c r="R99" s="38">
        <v>2116</v>
      </c>
      <c r="S99" s="50"/>
      <c r="T99" s="59"/>
    </row>
    <row r="100" spans="1:20" x14ac:dyDescent="0.25">
      <c r="A100" s="27" t="s">
        <v>361</v>
      </c>
      <c r="B100" s="5" t="s">
        <v>418</v>
      </c>
      <c r="C100" s="1" t="s">
        <v>281</v>
      </c>
      <c r="D100" s="2" t="s">
        <v>276</v>
      </c>
      <c r="E100" s="2" t="s">
        <v>277</v>
      </c>
      <c r="F100" s="2" t="s">
        <v>311</v>
      </c>
      <c r="G100" s="2" t="s">
        <v>285</v>
      </c>
      <c r="H100" s="2" t="s">
        <v>287</v>
      </c>
      <c r="I100" s="2" t="s">
        <v>311</v>
      </c>
      <c r="J100" s="2" t="s">
        <v>311</v>
      </c>
      <c r="K100" s="2" t="s">
        <v>311</v>
      </c>
      <c r="L100" s="2" t="s">
        <v>311</v>
      </c>
      <c r="M100" s="2" t="s">
        <v>311</v>
      </c>
      <c r="N100" s="2" t="s">
        <v>311</v>
      </c>
      <c r="O100" s="32">
        <f t="shared" si="2"/>
        <v>1</v>
      </c>
      <c r="P100" s="36" t="b">
        <v>1</v>
      </c>
      <c r="Q100" s="35"/>
      <c r="R100" s="38">
        <v>212</v>
      </c>
      <c r="S100" s="50"/>
      <c r="T100" s="59"/>
    </row>
    <row r="101" spans="1:20" x14ac:dyDescent="0.25">
      <c r="A101" s="27" t="s">
        <v>361</v>
      </c>
      <c r="B101" s="5" t="s">
        <v>419</v>
      </c>
      <c r="C101" s="1" t="s">
        <v>281</v>
      </c>
      <c r="D101" s="2" t="s">
        <v>276</v>
      </c>
      <c r="E101" s="2" t="s">
        <v>277</v>
      </c>
      <c r="F101" s="2" t="s">
        <v>311</v>
      </c>
      <c r="G101" s="2" t="s">
        <v>285</v>
      </c>
      <c r="H101" s="2" t="s">
        <v>287</v>
      </c>
      <c r="I101" s="2" t="s">
        <v>311</v>
      </c>
      <c r="J101" s="2" t="s">
        <v>311</v>
      </c>
      <c r="K101" s="2" t="s">
        <v>311</v>
      </c>
      <c r="L101" s="2" t="s">
        <v>311</v>
      </c>
      <c r="M101" s="2" t="s">
        <v>311</v>
      </c>
      <c r="N101" s="2" t="s">
        <v>311</v>
      </c>
      <c r="O101" s="32">
        <f t="shared" si="2"/>
        <v>1</v>
      </c>
      <c r="P101" s="36" t="b">
        <v>1</v>
      </c>
      <c r="Q101" s="35"/>
      <c r="R101" s="38">
        <v>213</v>
      </c>
      <c r="S101" s="50"/>
      <c r="T101" s="59"/>
    </row>
    <row r="102" spans="1:20" x14ac:dyDescent="0.25">
      <c r="A102" s="27" t="s">
        <v>361</v>
      </c>
      <c r="B102" s="5" t="s">
        <v>420</v>
      </c>
      <c r="C102" s="1" t="s">
        <v>282</v>
      </c>
      <c r="D102" s="2" t="s">
        <v>258</v>
      </c>
      <c r="E102" s="2" t="s">
        <v>278</v>
      </c>
      <c r="F102" s="2" t="s">
        <v>311</v>
      </c>
      <c r="G102" s="2" t="s">
        <v>285</v>
      </c>
      <c r="H102" s="2" t="s">
        <v>288</v>
      </c>
      <c r="I102" s="2" t="s">
        <v>311</v>
      </c>
      <c r="J102" s="2" t="s">
        <v>311</v>
      </c>
      <c r="K102" s="2" t="s">
        <v>311</v>
      </c>
      <c r="L102" s="2" t="s">
        <v>311</v>
      </c>
      <c r="M102" s="2" t="s">
        <v>311</v>
      </c>
      <c r="N102" s="2" t="s">
        <v>311</v>
      </c>
      <c r="O102" s="32">
        <f t="shared" si="2"/>
        <v>1</v>
      </c>
      <c r="P102" s="36" t="b">
        <v>1</v>
      </c>
      <c r="Q102" s="35"/>
      <c r="R102" s="38">
        <v>214</v>
      </c>
      <c r="S102" s="50"/>
      <c r="T102" s="59"/>
    </row>
    <row r="103" spans="1:20" x14ac:dyDescent="0.25">
      <c r="A103" s="27" t="s">
        <v>361</v>
      </c>
      <c r="B103" s="5" t="s">
        <v>421</v>
      </c>
      <c r="C103" s="1" t="s">
        <v>283</v>
      </c>
      <c r="D103" s="2" t="s">
        <v>276</v>
      </c>
      <c r="E103" s="2" t="s">
        <v>277</v>
      </c>
      <c r="F103" s="2" t="s">
        <v>289</v>
      </c>
      <c r="G103" s="2" t="s">
        <v>276</v>
      </c>
      <c r="H103" s="2" t="s">
        <v>278</v>
      </c>
      <c r="I103" s="2" t="s">
        <v>311</v>
      </c>
      <c r="J103" s="2" t="s">
        <v>311</v>
      </c>
      <c r="K103" s="2" t="s">
        <v>311</v>
      </c>
      <c r="L103" s="2" t="s">
        <v>311</v>
      </c>
      <c r="M103" s="2" t="s">
        <v>311</v>
      </c>
      <c r="N103" s="2" t="s">
        <v>311</v>
      </c>
      <c r="O103" s="32">
        <f t="shared" si="2"/>
        <v>1</v>
      </c>
      <c r="P103" s="36" t="b">
        <v>1</v>
      </c>
      <c r="Q103" s="35"/>
      <c r="R103" s="38">
        <v>215</v>
      </c>
      <c r="S103" s="50"/>
      <c r="T103" s="59"/>
    </row>
    <row r="104" spans="1:20" x14ac:dyDescent="0.25">
      <c r="A104" s="27" t="s">
        <v>361</v>
      </c>
      <c r="B104" s="5" t="s">
        <v>422</v>
      </c>
      <c r="C104" s="2" t="s">
        <v>311</v>
      </c>
      <c r="D104" s="2" t="s">
        <v>311</v>
      </c>
      <c r="E104" s="2" t="s">
        <v>311</v>
      </c>
      <c r="F104" s="2" t="s">
        <v>311</v>
      </c>
      <c r="G104" s="2" t="s">
        <v>311</v>
      </c>
      <c r="H104" s="2" t="s">
        <v>311</v>
      </c>
      <c r="I104" s="45" t="s">
        <v>311</v>
      </c>
      <c r="J104" s="2" t="s">
        <v>311</v>
      </c>
      <c r="K104" s="2" t="s">
        <v>311</v>
      </c>
      <c r="L104" s="4"/>
      <c r="M104" s="2" t="s">
        <v>258</v>
      </c>
      <c r="N104" s="2" t="s">
        <v>311</v>
      </c>
      <c r="O104" s="32">
        <f t="shared" si="2"/>
        <v>1</v>
      </c>
      <c r="P104" s="36" t="b">
        <v>1</v>
      </c>
      <c r="Q104" s="35"/>
      <c r="R104" s="38">
        <v>216</v>
      </c>
      <c r="S104" s="50"/>
      <c r="T104" s="59"/>
    </row>
    <row r="105" spans="1:20" x14ac:dyDescent="0.25">
      <c r="A105" s="27" t="s">
        <v>429</v>
      </c>
      <c r="B105" s="5" t="s">
        <v>352</v>
      </c>
      <c r="C105" s="2" t="s">
        <v>311</v>
      </c>
      <c r="D105" s="2" t="s">
        <v>311</v>
      </c>
      <c r="E105" s="2" t="s">
        <v>311</v>
      </c>
      <c r="F105" s="2" t="s">
        <v>311</v>
      </c>
      <c r="G105" s="2" t="s">
        <v>285</v>
      </c>
      <c r="H105" s="2" t="s">
        <v>485</v>
      </c>
      <c r="I105" s="2" t="s">
        <v>311</v>
      </c>
      <c r="J105" s="2" t="s">
        <v>311</v>
      </c>
      <c r="K105" s="2" t="s">
        <v>311</v>
      </c>
      <c r="L105" s="2" t="s">
        <v>311</v>
      </c>
      <c r="M105" s="2" t="s">
        <v>311</v>
      </c>
      <c r="N105" s="2" t="s">
        <v>311</v>
      </c>
      <c r="O105" s="32">
        <f t="shared" si="2"/>
        <v>1</v>
      </c>
      <c r="P105" s="36" t="b">
        <v>1</v>
      </c>
      <c r="Q105" s="35"/>
      <c r="R105" s="38">
        <v>2161</v>
      </c>
      <c r="S105" s="50"/>
      <c r="T105" s="59"/>
    </row>
    <row r="106" spans="1:20" x14ac:dyDescent="0.25">
      <c r="A106" s="27" t="s">
        <v>429</v>
      </c>
      <c r="B106" s="5" t="s">
        <v>362</v>
      </c>
      <c r="C106" s="2" t="s">
        <v>519</v>
      </c>
      <c r="D106" s="2" t="s">
        <v>276</v>
      </c>
      <c r="E106" s="2" t="s">
        <v>277</v>
      </c>
      <c r="F106" s="44"/>
      <c r="G106" s="2" t="s">
        <v>285</v>
      </c>
      <c r="H106" s="2" t="s">
        <v>486</v>
      </c>
      <c r="I106" s="2" t="s">
        <v>311</v>
      </c>
      <c r="J106" s="2" t="s">
        <v>311</v>
      </c>
      <c r="K106" s="2" t="s">
        <v>311</v>
      </c>
      <c r="L106" s="2" t="s">
        <v>311</v>
      </c>
      <c r="M106" s="2" t="s">
        <v>311</v>
      </c>
      <c r="N106" s="2" t="s">
        <v>311</v>
      </c>
      <c r="O106" s="32">
        <f t="shared" si="2"/>
        <v>1</v>
      </c>
      <c r="P106" s="36" t="b">
        <v>1</v>
      </c>
      <c r="Q106" s="35"/>
      <c r="R106" s="38">
        <v>2162</v>
      </c>
      <c r="S106" s="50"/>
      <c r="T106" s="59"/>
    </row>
    <row r="107" spans="1:20" x14ac:dyDescent="0.25">
      <c r="A107" s="27" t="s">
        <v>429</v>
      </c>
      <c r="B107" s="5" t="s">
        <v>369</v>
      </c>
      <c r="C107" s="2" t="s">
        <v>519</v>
      </c>
      <c r="D107" s="2" t="s">
        <v>276</v>
      </c>
      <c r="E107" s="2" t="s">
        <v>277</v>
      </c>
      <c r="F107" s="44"/>
      <c r="G107" s="2" t="s">
        <v>285</v>
      </c>
      <c r="H107" s="2" t="s">
        <v>486</v>
      </c>
      <c r="I107" s="45" t="s">
        <v>311</v>
      </c>
      <c r="J107" s="2" t="s">
        <v>311</v>
      </c>
      <c r="K107" s="2" t="s">
        <v>311</v>
      </c>
      <c r="L107" s="2" t="s">
        <v>311</v>
      </c>
      <c r="M107" s="2" t="s">
        <v>311</v>
      </c>
      <c r="N107" s="2" t="s">
        <v>311</v>
      </c>
      <c r="O107" s="29">
        <f t="shared" si="2"/>
        <v>0</v>
      </c>
      <c r="P107" s="34" t="b">
        <v>0</v>
      </c>
      <c r="Q107" s="38"/>
      <c r="R107" s="38">
        <v>2163</v>
      </c>
      <c r="S107" s="50"/>
      <c r="T107" s="59"/>
    </row>
    <row r="108" spans="1:20" x14ac:dyDescent="0.25">
      <c r="A108" s="27" t="s">
        <v>429</v>
      </c>
      <c r="B108" s="5" t="s">
        <v>376</v>
      </c>
      <c r="C108" s="2" t="s">
        <v>520</v>
      </c>
      <c r="D108" s="2" t="s">
        <v>276</v>
      </c>
      <c r="E108" s="2" t="s">
        <v>277</v>
      </c>
      <c r="F108" s="2" t="s">
        <v>509</v>
      </c>
      <c r="G108" s="2" t="s">
        <v>276</v>
      </c>
      <c r="H108" s="2" t="s">
        <v>278</v>
      </c>
      <c r="I108" s="2" t="s">
        <v>311</v>
      </c>
      <c r="J108" s="2" t="s">
        <v>311</v>
      </c>
      <c r="K108" s="2" t="s">
        <v>311</v>
      </c>
      <c r="L108" s="2" t="s">
        <v>311</v>
      </c>
      <c r="M108" s="2" t="s">
        <v>311</v>
      </c>
      <c r="N108" s="2" t="s">
        <v>311</v>
      </c>
      <c r="O108" s="32">
        <f t="shared" si="2"/>
        <v>1</v>
      </c>
      <c r="P108" s="36" t="b">
        <v>1</v>
      </c>
      <c r="Q108" s="35"/>
      <c r="R108" s="38">
        <v>2164</v>
      </c>
      <c r="S108" s="50"/>
      <c r="T108" s="59"/>
    </row>
    <row r="109" spans="1:20" x14ac:dyDescent="0.25">
      <c r="A109" s="27" t="s">
        <v>430</v>
      </c>
      <c r="B109" s="5" t="s">
        <v>353</v>
      </c>
      <c r="C109" s="2" t="s">
        <v>311</v>
      </c>
      <c r="D109" s="2" t="s">
        <v>311</v>
      </c>
      <c r="E109" s="2" t="s">
        <v>311</v>
      </c>
      <c r="F109" s="2" t="s">
        <v>311</v>
      </c>
      <c r="G109" s="2" t="s">
        <v>311</v>
      </c>
      <c r="H109" s="2" t="s">
        <v>311</v>
      </c>
      <c r="I109" s="2" t="s">
        <v>311</v>
      </c>
      <c r="J109" s="2" t="s">
        <v>311</v>
      </c>
      <c r="K109" s="2" t="s">
        <v>311</v>
      </c>
      <c r="L109" s="2" t="s">
        <v>311</v>
      </c>
      <c r="M109" s="2" t="s">
        <v>311</v>
      </c>
      <c r="N109" s="2" t="s">
        <v>311</v>
      </c>
      <c r="O109" s="32">
        <f t="shared" si="2"/>
        <v>1</v>
      </c>
      <c r="P109" s="36" t="b">
        <v>1</v>
      </c>
      <c r="Q109" s="35"/>
      <c r="R109" s="38">
        <v>21641</v>
      </c>
      <c r="S109" s="50"/>
      <c r="T109" s="59"/>
    </row>
    <row r="110" spans="1:20" x14ac:dyDescent="0.25">
      <c r="A110" s="27" t="s">
        <v>430</v>
      </c>
      <c r="B110" s="5" t="s">
        <v>363</v>
      </c>
      <c r="C110" s="2" t="s">
        <v>311</v>
      </c>
      <c r="D110" s="2" t="s">
        <v>311</v>
      </c>
      <c r="E110" s="2" t="s">
        <v>311</v>
      </c>
      <c r="F110" s="2" t="s">
        <v>311</v>
      </c>
      <c r="G110" s="2" t="s">
        <v>311</v>
      </c>
      <c r="H110" s="2" t="s">
        <v>311</v>
      </c>
      <c r="I110" s="2" t="s">
        <v>311</v>
      </c>
      <c r="J110" s="2" t="s">
        <v>311</v>
      </c>
      <c r="K110" s="2" t="s">
        <v>311</v>
      </c>
      <c r="L110" s="2" t="s">
        <v>311</v>
      </c>
      <c r="M110" s="2" t="s">
        <v>311</v>
      </c>
      <c r="N110" s="2" t="s">
        <v>311</v>
      </c>
      <c r="O110" s="32">
        <f t="shared" si="2"/>
        <v>1</v>
      </c>
      <c r="P110" s="36" t="b">
        <v>1</v>
      </c>
      <c r="Q110" s="35"/>
      <c r="R110" s="38">
        <v>21642</v>
      </c>
      <c r="S110" s="50"/>
      <c r="T110" s="59"/>
    </row>
    <row r="111" spans="1:20" x14ac:dyDescent="0.25">
      <c r="A111" s="27" t="s">
        <v>430</v>
      </c>
      <c r="B111" s="5" t="s">
        <v>370</v>
      </c>
      <c r="C111" s="2" t="s">
        <v>311</v>
      </c>
      <c r="D111" s="2" t="s">
        <v>311</v>
      </c>
      <c r="E111" s="2" t="s">
        <v>311</v>
      </c>
      <c r="F111" s="2" t="s">
        <v>311</v>
      </c>
      <c r="G111" s="2" t="s">
        <v>311</v>
      </c>
      <c r="H111" s="2" t="s">
        <v>311</v>
      </c>
      <c r="I111" s="2" t="s">
        <v>311</v>
      </c>
      <c r="J111" s="2" t="s">
        <v>311</v>
      </c>
      <c r="K111" s="2" t="s">
        <v>311</v>
      </c>
      <c r="L111" s="2" t="s">
        <v>311</v>
      </c>
      <c r="M111" s="2" t="s">
        <v>311</v>
      </c>
      <c r="N111" s="2" t="s">
        <v>311</v>
      </c>
      <c r="O111" s="32">
        <f t="shared" si="2"/>
        <v>1</v>
      </c>
      <c r="P111" s="36" t="b">
        <v>1</v>
      </c>
      <c r="Q111" s="35"/>
      <c r="R111" s="38">
        <v>21643</v>
      </c>
      <c r="S111" s="50"/>
      <c r="T111" s="59"/>
    </row>
    <row r="112" spans="1:20" x14ac:dyDescent="0.25">
      <c r="A112" s="27" t="s">
        <v>430</v>
      </c>
      <c r="B112" s="5" t="s">
        <v>377</v>
      </c>
      <c r="C112" s="2" t="s">
        <v>311</v>
      </c>
      <c r="D112" s="2" t="s">
        <v>311</v>
      </c>
      <c r="E112" s="2" t="s">
        <v>311</v>
      </c>
      <c r="F112" s="2" t="s">
        <v>311</v>
      </c>
      <c r="G112" s="2" t="s">
        <v>311</v>
      </c>
      <c r="H112" s="2" t="s">
        <v>311</v>
      </c>
      <c r="I112" s="2" t="s">
        <v>311</v>
      </c>
      <c r="J112" s="2" t="s">
        <v>311</v>
      </c>
      <c r="K112" s="2" t="s">
        <v>311</v>
      </c>
      <c r="L112" s="2" t="s">
        <v>311</v>
      </c>
      <c r="M112" s="2" t="s">
        <v>311</v>
      </c>
      <c r="N112" s="2" t="s">
        <v>311</v>
      </c>
      <c r="O112" s="32">
        <f t="shared" si="2"/>
        <v>1</v>
      </c>
      <c r="P112" s="36" t="b">
        <v>1</v>
      </c>
      <c r="Q112" s="35"/>
      <c r="R112" s="38">
        <v>21644</v>
      </c>
      <c r="S112" s="50"/>
      <c r="T112" s="59"/>
    </row>
    <row r="113" spans="1:20" x14ac:dyDescent="0.25">
      <c r="A113" s="27" t="s">
        <v>430</v>
      </c>
      <c r="B113" s="5" t="s">
        <v>382</v>
      </c>
      <c r="C113" s="2" t="s">
        <v>311</v>
      </c>
      <c r="D113" s="2" t="s">
        <v>311</v>
      </c>
      <c r="E113" s="2" t="s">
        <v>311</v>
      </c>
      <c r="F113" s="2" t="s">
        <v>311</v>
      </c>
      <c r="G113" s="2" t="s">
        <v>311</v>
      </c>
      <c r="H113" s="2" t="s">
        <v>311</v>
      </c>
      <c r="I113" s="2" t="s">
        <v>311</v>
      </c>
      <c r="J113" s="2" t="s">
        <v>311</v>
      </c>
      <c r="K113" s="2" t="s">
        <v>311</v>
      </c>
      <c r="L113" s="2" t="s">
        <v>311</v>
      </c>
      <c r="M113" s="2" t="s">
        <v>311</v>
      </c>
      <c r="N113" s="2" t="s">
        <v>311</v>
      </c>
      <c r="O113" s="32">
        <f t="shared" si="2"/>
        <v>1</v>
      </c>
      <c r="P113" s="36" t="b">
        <v>1</v>
      </c>
      <c r="Q113" s="35"/>
      <c r="R113" s="38">
        <v>21645</v>
      </c>
      <c r="S113" s="50"/>
      <c r="T113" s="59"/>
    </row>
    <row r="114" spans="1:20" x14ac:dyDescent="0.25">
      <c r="A114" s="27" t="s">
        <v>361</v>
      </c>
      <c r="B114" s="5" t="s">
        <v>383</v>
      </c>
      <c r="C114" s="1" t="s">
        <v>283</v>
      </c>
      <c r="D114" s="2" t="s">
        <v>276</v>
      </c>
      <c r="E114" s="2" t="s">
        <v>277</v>
      </c>
      <c r="F114" s="2" t="s">
        <v>311</v>
      </c>
      <c r="G114" s="2" t="s">
        <v>311</v>
      </c>
      <c r="H114" s="2" t="s">
        <v>311</v>
      </c>
      <c r="I114" s="2" t="s">
        <v>311</v>
      </c>
      <c r="J114" s="2" t="s">
        <v>311</v>
      </c>
      <c r="K114" s="2" t="s">
        <v>311</v>
      </c>
      <c r="L114" s="2" t="s">
        <v>311</v>
      </c>
      <c r="M114" s="2" t="s">
        <v>311</v>
      </c>
      <c r="N114" s="2" t="s">
        <v>311</v>
      </c>
      <c r="O114" s="32">
        <f t="shared" si="2"/>
        <v>1</v>
      </c>
      <c r="P114" s="36" t="b">
        <v>1</v>
      </c>
      <c r="Q114" s="35"/>
      <c r="R114" s="38">
        <v>217</v>
      </c>
      <c r="S114" s="50"/>
      <c r="T114" s="59"/>
    </row>
    <row r="115" spans="1:20" x14ac:dyDescent="0.25">
      <c r="A115" s="27" t="s">
        <v>429</v>
      </c>
      <c r="B115" s="5" t="s">
        <v>354</v>
      </c>
      <c r="C115" s="2" t="s">
        <v>311</v>
      </c>
      <c r="D115" s="2" t="s">
        <v>311</v>
      </c>
      <c r="E115" s="2" t="s">
        <v>311</v>
      </c>
      <c r="F115" s="2" t="s">
        <v>311</v>
      </c>
      <c r="G115" s="2" t="s">
        <v>311</v>
      </c>
      <c r="H115" s="2" t="s">
        <v>311</v>
      </c>
      <c r="I115" s="2" t="s">
        <v>311</v>
      </c>
      <c r="J115" s="2" t="s">
        <v>311</v>
      </c>
      <c r="K115" s="2" t="s">
        <v>311</v>
      </c>
      <c r="L115" s="2" t="s">
        <v>311</v>
      </c>
      <c r="M115" s="2" t="s">
        <v>311</v>
      </c>
      <c r="N115" s="2" t="s">
        <v>311</v>
      </c>
      <c r="O115" s="29">
        <f t="shared" si="2"/>
        <v>1</v>
      </c>
      <c r="P115" s="34" t="b">
        <v>1</v>
      </c>
      <c r="Q115" s="38"/>
      <c r="R115" s="38">
        <v>2171</v>
      </c>
      <c r="S115" s="50"/>
      <c r="T115" s="59"/>
    </row>
    <row r="116" spans="1:20" x14ac:dyDescent="0.25">
      <c r="A116" s="27" t="s">
        <v>430</v>
      </c>
      <c r="B116" s="5" t="s">
        <v>355</v>
      </c>
      <c r="C116" s="2" t="s">
        <v>311</v>
      </c>
      <c r="D116" s="2" t="s">
        <v>311</v>
      </c>
      <c r="E116" s="2" t="s">
        <v>311</v>
      </c>
      <c r="F116" s="2" t="s">
        <v>510</v>
      </c>
      <c r="G116" s="2" t="s">
        <v>276</v>
      </c>
      <c r="H116" s="2" t="s">
        <v>278</v>
      </c>
      <c r="I116" s="2" t="s">
        <v>311</v>
      </c>
      <c r="J116" s="2" t="s">
        <v>311</v>
      </c>
      <c r="K116" s="2" t="s">
        <v>311</v>
      </c>
      <c r="L116" s="2" t="s">
        <v>311</v>
      </c>
      <c r="M116" s="2" t="s">
        <v>311</v>
      </c>
      <c r="N116" s="2" t="s">
        <v>311</v>
      </c>
      <c r="O116" s="32">
        <f t="shared" si="2"/>
        <v>1</v>
      </c>
      <c r="P116" s="36" t="b">
        <v>1</v>
      </c>
      <c r="Q116" s="35"/>
      <c r="R116" s="38">
        <v>21711</v>
      </c>
      <c r="S116" s="50"/>
      <c r="T116" s="59"/>
    </row>
    <row r="117" spans="1:20" x14ac:dyDescent="0.25">
      <c r="A117" s="27" t="s">
        <v>430</v>
      </c>
      <c r="B117" s="5" t="s">
        <v>364</v>
      </c>
      <c r="C117" s="2" t="s">
        <v>311</v>
      </c>
      <c r="D117" s="2" t="s">
        <v>311</v>
      </c>
      <c r="E117" s="2" t="s">
        <v>311</v>
      </c>
      <c r="F117" s="2" t="s">
        <v>511</v>
      </c>
      <c r="G117" s="2" t="s">
        <v>276</v>
      </c>
      <c r="H117" s="2" t="s">
        <v>278</v>
      </c>
      <c r="I117" s="2" t="s">
        <v>311</v>
      </c>
      <c r="J117" s="2" t="s">
        <v>311</v>
      </c>
      <c r="K117" s="2" t="s">
        <v>311</v>
      </c>
      <c r="L117" s="2" t="s">
        <v>311</v>
      </c>
      <c r="M117" s="2" t="s">
        <v>311</v>
      </c>
      <c r="N117" s="2" t="s">
        <v>311</v>
      </c>
      <c r="O117" s="32">
        <f t="shared" si="2"/>
        <v>1</v>
      </c>
      <c r="P117" s="36" t="b">
        <v>1</v>
      </c>
      <c r="Q117" s="35"/>
      <c r="R117" s="38">
        <v>21712</v>
      </c>
      <c r="S117" s="50"/>
      <c r="T117" s="59"/>
    </row>
    <row r="118" spans="1:20" x14ac:dyDescent="0.25">
      <c r="A118" s="27" t="s">
        <v>429</v>
      </c>
      <c r="B118" s="5" t="s">
        <v>365</v>
      </c>
      <c r="C118" s="2" t="s">
        <v>311</v>
      </c>
      <c r="D118" s="2" t="s">
        <v>311</v>
      </c>
      <c r="E118" s="2" t="s">
        <v>311</v>
      </c>
      <c r="F118" s="2" t="s">
        <v>311</v>
      </c>
      <c r="G118" s="2" t="s">
        <v>311</v>
      </c>
      <c r="H118" s="2" t="s">
        <v>311</v>
      </c>
      <c r="I118" s="2" t="s">
        <v>311</v>
      </c>
      <c r="J118" s="2" t="s">
        <v>311</v>
      </c>
      <c r="K118" s="2" t="s">
        <v>311</v>
      </c>
      <c r="L118" s="2" t="s">
        <v>311</v>
      </c>
      <c r="M118" s="2" t="s">
        <v>311</v>
      </c>
      <c r="N118" s="2" t="s">
        <v>311</v>
      </c>
      <c r="O118" s="29">
        <f t="shared" si="2"/>
        <v>1</v>
      </c>
      <c r="P118" s="34" t="b">
        <v>1</v>
      </c>
      <c r="Q118" s="38"/>
      <c r="R118" s="38">
        <v>2172</v>
      </c>
      <c r="S118" s="50"/>
      <c r="T118" s="59"/>
    </row>
    <row r="119" spans="1:20" x14ac:dyDescent="0.25">
      <c r="A119" s="27" t="s">
        <v>430</v>
      </c>
      <c r="B119" s="5" t="s">
        <v>356</v>
      </c>
      <c r="C119" s="2" t="s">
        <v>311</v>
      </c>
      <c r="D119" s="2" t="s">
        <v>311</v>
      </c>
      <c r="E119" s="2" t="s">
        <v>311</v>
      </c>
      <c r="F119" s="2" t="s">
        <v>311</v>
      </c>
      <c r="G119" s="2" t="s">
        <v>285</v>
      </c>
      <c r="H119" s="2" t="s">
        <v>487</v>
      </c>
      <c r="I119" s="2" t="s">
        <v>311</v>
      </c>
      <c r="J119" s="2" t="s">
        <v>311</v>
      </c>
      <c r="K119" s="2" t="s">
        <v>311</v>
      </c>
      <c r="L119" s="2" t="s">
        <v>311</v>
      </c>
      <c r="M119" s="2" t="s">
        <v>311</v>
      </c>
      <c r="N119" s="2" t="s">
        <v>311</v>
      </c>
      <c r="O119" s="32">
        <f t="shared" si="2"/>
        <v>1</v>
      </c>
      <c r="P119" s="36" t="b">
        <v>1</v>
      </c>
      <c r="Q119" s="35"/>
      <c r="R119" s="38">
        <v>21721</v>
      </c>
      <c r="S119" s="50"/>
      <c r="T119" s="59"/>
    </row>
    <row r="120" spans="1:20" x14ac:dyDescent="0.25">
      <c r="A120" s="27" t="s">
        <v>430</v>
      </c>
      <c r="B120" s="5" t="s">
        <v>366</v>
      </c>
      <c r="C120" s="2" t="s">
        <v>311</v>
      </c>
      <c r="D120" s="2" t="s">
        <v>311</v>
      </c>
      <c r="E120" s="2" t="s">
        <v>311</v>
      </c>
      <c r="F120" s="2" t="s">
        <v>511</v>
      </c>
      <c r="G120" s="2" t="s">
        <v>276</v>
      </c>
      <c r="H120" s="2" t="s">
        <v>278</v>
      </c>
      <c r="I120" s="2" t="s">
        <v>311</v>
      </c>
      <c r="J120" s="2" t="s">
        <v>311</v>
      </c>
      <c r="K120" s="2" t="s">
        <v>311</v>
      </c>
      <c r="L120" s="2" t="s">
        <v>311</v>
      </c>
      <c r="M120" s="2" t="s">
        <v>311</v>
      </c>
      <c r="N120" s="2" t="s">
        <v>311</v>
      </c>
      <c r="O120" s="32">
        <f t="shared" si="2"/>
        <v>1</v>
      </c>
      <c r="P120" s="36" t="b">
        <v>1</v>
      </c>
      <c r="Q120" s="35"/>
      <c r="R120" s="38">
        <v>21722</v>
      </c>
      <c r="S120" s="50"/>
      <c r="T120" s="59"/>
    </row>
    <row r="121" spans="1:20" x14ac:dyDescent="0.25">
      <c r="A121" s="27" t="s">
        <v>430</v>
      </c>
      <c r="B121" s="5" t="s">
        <v>371</v>
      </c>
      <c r="C121" s="2" t="s">
        <v>311</v>
      </c>
      <c r="D121" s="2" t="s">
        <v>311</v>
      </c>
      <c r="E121" s="2" t="s">
        <v>311</v>
      </c>
      <c r="F121" s="2" t="s">
        <v>512</v>
      </c>
      <c r="G121" s="2" t="s">
        <v>292</v>
      </c>
      <c r="H121" s="2" t="s">
        <v>488</v>
      </c>
      <c r="I121" s="2" t="s">
        <v>311</v>
      </c>
      <c r="J121" s="2" t="s">
        <v>311</v>
      </c>
      <c r="K121" s="2" t="s">
        <v>311</v>
      </c>
      <c r="L121" s="2" t="s">
        <v>311</v>
      </c>
      <c r="M121" s="2" t="s">
        <v>311</v>
      </c>
      <c r="N121" s="2" t="s">
        <v>311</v>
      </c>
      <c r="O121" s="32">
        <f t="shared" si="2"/>
        <v>1</v>
      </c>
      <c r="P121" s="36" t="b">
        <v>1</v>
      </c>
      <c r="Q121" s="35"/>
      <c r="R121" s="38">
        <v>21723</v>
      </c>
      <c r="S121" s="50"/>
      <c r="T121" s="59"/>
    </row>
    <row r="122" spans="1:20" x14ac:dyDescent="0.25">
      <c r="A122" s="27" t="s">
        <v>429</v>
      </c>
      <c r="B122" s="5" t="s">
        <v>372</v>
      </c>
      <c r="C122" s="2" t="s">
        <v>311</v>
      </c>
      <c r="D122" s="2" t="s">
        <v>311</v>
      </c>
      <c r="E122" s="2" t="s">
        <v>311</v>
      </c>
      <c r="F122" s="2" t="s">
        <v>511</v>
      </c>
      <c r="G122" s="2" t="s">
        <v>276</v>
      </c>
      <c r="H122" s="2" t="s">
        <v>278</v>
      </c>
      <c r="I122" s="2" t="s">
        <v>311</v>
      </c>
      <c r="J122" s="2" t="s">
        <v>311</v>
      </c>
      <c r="K122" s="2" t="s">
        <v>311</v>
      </c>
      <c r="L122" s="2" t="s">
        <v>311</v>
      </c>
      <c r="M122" s="2" t="s">
        <v>311</v>
      </c>
      <c r="N122" s="2" t="s">
        <v>311</v>
      </c>
      <c r="O122" s="32">
        <f t="shared" si="2"/>
        <v>1</v>
      </c>
      <c r="P122" s="36" t="b">
        <v>1</v>
      </c>
      <c r="Q122" s="35"/>
      <c r="R122" s="38">
        <v>2173</v>
      </c>
      <c r="S122" s="50"/>
      <c r="T122" s="59"/>
    </row>
    <row r="123" spans="1:20" x14ac:dyDescent="0.25">
      <c r="A123" s="27" t="s">
        <v>429</v>
      </c>
      <c r="B123" s="5" t="s">
        <v>378</v>
      </c>
      <c r="C123" s="2" t="s">
        <v>311</v>
      </c>
      <c r="D123" s="2" t="s">
        <v>311</v>
      </c>
      <c r="E123" s="2" t="s">
        <v>311</v>
      </c>
      <c r="F123" s="2" t="s">
        <v>311</v>
      </c>
      <c r="G123" s="2" t="s">
        <v>311</v>
      </c>
      <c r="H123" s="2" t="s">
        <v>311</v>
      </c>
      <c r="I123" s="2" t="s">
        <v>311</v>
      </c>
      <c r="J123" s="2" t="s">
        <v>311</v>
      </c>
      <c r="K123" s="2" t="s">
        <v>311</v>
      </c>
      <c r="L123" s="2" t="s">
        <v>311</v>
      </c>
      <c r="M123" s="2" t="s">
        <v>311</v>
      </c>
      <c r="N123" s="2" t="s">
        <v>311</v>
      </c>
      <c r="O123" s="32">
        <f t="shared" si="2"/>
        <v>1</v>
      </c>
      <c r="P123" s="36" t="b">
        <v>1</v>
      </c>
      <c r="Q123" s="35"/>
      <c r="R123" s="38">
        <v>2174</v>
      </c>
      <c r="S123" s="50"/>
      <c r="T123" s="59"/>
    </row>
    <row r="124" spans="1:20" x14ac:dyDescent="0.25">
      <c r="A124" s="27" t="s">
        <v>430</v>
      </c>
      <c r="B124" s="5" t="s">
        <v>357</v>
      </c>
      <c r="C124" s="2" t="s">
        <v>311</v>
      </c>
      <c r="D124" s="2" t="s">
        <v>311</v>
      </c>
      <c r="E124" s="2" t="s">
        <v>311</v>
      </c>
      <c r="F124" s="2" t="s">
        <v>510</v>
      </c>
      <c r="G124" s="2" t="s">
        <v>276</v>
      </c>
      <c r="H124" s="2" t="s">
        <v>278</v>
      </c>
      <c r="I124" s="2" t="s">
        <v>311</v>
      </c>
      <c r="J124" s="2" t="s">
        <v>311</v>
      </c>
      <c r="K124" s="2" t="s">
        <v>311</v>
      </c>
      <c r="L124" s="2" t="s">
        <v>311</v>
      </c>
      <c r="M124" s="2" t="s">
        <v>311</v>
      </c>
      <c r="N124" s="2" t="s">
        <v>311</v>
      </c>
      <c r="O124" s="32">
        <f t="shared" si="2"/>
        <v>1</v>
      </c>
      <c r="P124" s="36" t="b">
        <v>1</v>
      </c>
      <c r="Q124" s="35"/>
      <c r="R124" s="38">
        <v>21741</v>
      </c>
      <c r="S124" s="50"/>
      <c r="T124" s="59"/>
    </row>
    <row r="125" spans="1:20" x14ac:dyDescent="0.25">
      <c r="A125" s="27" t="s">
        <v>430</v>
      </c>
      <c r="B125" s="5" t="s">
        <v>367</v>
      </c>
      <c r="C125" s="2" t="s">
        <v>311</v>
      </c>
      <c r="D125" s="2" t="s">
        <v>311</v>
      </c>
      <c r="E125" s="2" t="s">
        <v>311</v>
      </c>
      <c r="F125" s="2" t="s">
        <v>513</v>
      </c>
      <c r="G125" s="2" t="s">
        <v>276</v>
      </c>
      <c r="H125" s="2" t="s">
        <v>278</v>
      </c>
      <c r="I125" s="2" t="s">
        <v>311</v>
      </c>
      <c r="J125" s="2" t="s">
        <v>311</v>
      </c>
      <c r="K125" s="2" t="s">
        <v>311</v>
      </c>
      <c r="L125" s="2" t="s">
        <v>311</v>
      </c>
      <c r="M125" s="2" t="s">
        <v>311</v>
      </c>
      <c r="N125" s="2" t="s">
        <v>311</v>
      </c>
      <c r="O125" s="32">
        <f t="shared" si="2"/>
        <v>1</v>
      </c>
      <c r="P125" s="36" t="b">
        <v>1</v>
      </c>
      <c r="Q125" s="35"/>
      <c r="R125" s="38">
        <v>21742</v>
      </c>
      <c r="S125" s="50"/>
      <c r="T125" s="59"/>
    </row>
    <row r="126" spans="1:20" x14ac:dyDescent="0.25">
      <c r="A126" s="27" t="s">
        <v>361</v>
      </c>
      <c r="B126" s="5" t="s">
        <v>384</v>
      </c>
      <c r="C126" s="2" t="s">
        <v>311</v>
      </c>
      <c r="D126" s="2" t="s">
        <v>311</v>
      </c>
      <c r="E126" s="2" t="s">
        <v>311</v>
      </c>
      <c r="F126" s="2" t="s">
        <v>290</v>
      </c>
      <c r="G126" s="2" t="s">
        <v>276</v>
      </c>
      <c r="H126" s="2" t="s">
        <v>278</v>
      </c>
      <c r="I126" s="2" t="s">
        <v>311</v>
      </c>
      <c r="J126" s="2" t="s">
        <v>311</v>
      </c>
      <c r="K126" s="2" t="s">
        <v>311</v>
      </c>
      <c r="L126" s="2" t="s">
        <v>311</v>
      </c>
      <c r="M126" s="2" t="s">
        <v>311</v>
      </c>
      <c r="N126" s="2" t="s">
        <v>311</v>
      </c>
      <c r="O126" s="32">
        <f t="shared" si="2"/>
        <v>1</v>
      </c>
      <c r="P126" s="36" t="b">
        <v>1</v>
      </c>
      <c r="Q126" s="35"/>
      <c r="R126" s="38">
        <v>218</v>
      </c>
      <c r="S126" s="50"/>
      <c r="T126" s="59"/>
    </row>
    <row r="127" spans="1:20" x14ac:dyDescent="0.25">
      <c r="A127" s="27" t="s">
        <v>429</v>
      </c>
      <c r="B127" s="5" t="s">
        <v>354</v>
      </c>
      <c r="C127" s="2" t="s">
        <v>311</v>
      </c>
      <c r="D127" s="2" t="s">
        <v>311</v>
      </c>
      <c r="E127" s="2" t="s">
        <v>311</v>
      </c>
      <c r="F127" s="2" t="s">
        <v>311</v>
      </c>
      <c r="G127" s="2" t="s">
        <v>311</v>
      </c>
      <c r="H127" s="2" t="s">
        <v>311</v>
      </c>
      <c r="I127" s="2" t="s">
        <v>311</v>
      </c>
      <c r="J127" s="2" t="s">
        <v>311</v>
      </c>
      <c r="K127" s="2" t="s">
        <v>311</v>
      </c>
      <c r="L127" s="2" t="s">
        <v>311</v>
      </c>
      <c r="M127" s="2" t="s">
        <v>311</v>
      </c>
      <c r="N127" s="2" t="s">
        <v>311</v>
      </c>
      <c r="O127" s="29">
        <f t="shared" si="2"/>
        <v>1</v>
      </c>
      <c r="P127" s="34" t="b">
        <v>1</v>
      </c>
      <c r="Q127" s="38"/>
      <c r="R127" s="38">
        <v>2181</v>
      </c>
      <c r="S127" s="50"/>
      <c r="T127" s="59"/>
    </row>
    <row r="128" spans="1:20" x14ac:dyDescent="0.25">
      <c r="A128" s="27" t="s">
        <v>430</v>
      </c>
      <c r="B128" s="5" t="s">
        <v>358</v>
      </c>
      <c r="C128" s="2" t="s">
        <v>311</v>
      </c>
      <c r="D128" s="2" t="s">
        <v>311</v>
      </c>
      <c r="E128" s="2" t="s">
        <v>311</v>
      </c>
      <c r="F128" s="2" t="s">
        <v>512</v>
      </c>
      <c r="G128" s="2" t="s">
        <v>292</v>
      </c>
      <c r="H128" s="2" t="s">
        <v>278</v>
      </c>
      <c r="I128" s="2" t="s">
        <v>311</v>
      </c>
      <c r="J128" s="2" t="s">
        <v>311</v>
      </c>
      <c r="K128" s="2" t="s">
        <v>311</v>
      </c>
      <c r="L128" s="2" t="s">
        <v>311</v>
      </c>
      <c r="M128" s="2" t="s">
        <v>311</v>
      </c>
      <c r="N128" s="2" t="s">
        <v>311</v>
      </c>
      <c r="O128" s="32">
        <f t="shared" si="2"/>
        <v>1</v>
      </c>
      <c r="P128" s="36" t="b">
        <v>1</v>
      </c>
      <c r="Q128" s="35"/>
      <c r="R128" s="38">
        <v>21811</v>
      </c>
      <c r="S128" s="50"/>
      <c r="T128" s="59"/>
    </row>
    <row r="129" spans="1:20" x14ac:dyDescent="0.25">
      <c r="A129" s="27" t="s">
        <v>430</v>
      </c>
      <c r="B129" s="5" t="s">
        <v>368</v>
      </c>
      <c r="C129" s="2" t="s">
        <v>311</v>
      </c>
      <c r="D129" s="2" t="s">
        <v>311</v>
      </c>
      <c r="E129" s="2" t="s">
        <v>311</v>
      </c>
      <c r="F129" s="2" t="s">
        <v>512</v>
      </c>
      <c r="G129" s="2" t="s">
        <v>292</v>
      </c>
      <c r="H129" s="2" t="s">
        <v>278</v>
      </c>
      <c r="I129" s="2" t="s">
        <v>311</v>
      </c>
      <c r="J129" s="2" t="s">
        <v>311</v>
      </c>
      <c r="K129" s="2" t="s">
        <v>311</v>
      </c>
      <c r="L129" s="2" t="s">
        <v>311</v>
      </c>
      <c r="M129" s="2" t="s">
        <v>311</v>
      </c>
      <c r="N129" s="2" t="s">
        <v>311</v>
      </c>
      <c r="O129" s="32">
        <f t="shared" si="2"/>
        <v>1</v>
      </c>
      <c r="P129" s="36" t="b">
        <v>1</v>
      </c>
      <c r="Q129" s="35"/>
      <c r="R129" s="38">
        <v>21812</v>
      </c>
      <c r="S129" s="50"/>
      <c r="T129" s="59"/>
    </row>
    <row r="130" spans="1:20" x14ac:dyDescent="0.25">
      <c r="A130" s="27" t="s">
        <v>430</v>
      </c>
      <c r="B130" s="5" t="s">
        <v>373</v>
      </c>
      <c r="C130" s="2" t="s">
        <v>311</v>
      </c>
      <c r="D130" s="2" t="s">
        <v>311</v>
      </c>
      <c r="E130" s="2" t="s">
        <v>311</v>
      </c>
      <c r="F130" s="2" t="s">
        <v>311</v>
      </c>
      <c r="G130" s="2" t="s">
        <v>489</v>
      </c>
      <c r="H130" s="2" t="s">
        <v>278</v>
      </c>
      <c r="I130" s="2" t="s">
        <v>311</v>
      </c>
      <c r="J130" s="2" t="s">
        <v>311</v>
      </c>
      <c r="K130" s="2" t="s">
        <v>311</v>
      </c>
      <c r="L130" s="2" t="s">
        <v>311</v>
      </c>
      <c r="M130" s="2" t="s">
        <v>311</v>
      </c>
      <c r="N130" s="2" t="s">
        <v>311</v>
      </c>
      <c r="O130" s="32">
        <f t="shared" si="2"/>
        <v>1</v>
      </c>
      <c r="P130" s="36" t="b">
        <v>1</v>
      </c>
      <c r="Q130" s="35"/>
      <c r="R130" s="38">
        <v>21813</v>
      </c>
      <c r="S130" s="50"/>
      <c r="T130" s="59"/>
    </row>
    <row r="131" spans="1:20" x14ac:dyDescent="0.25">
      <c r="A131" s="27" t="s">
        <v>430</v>
      </c>
      <c r="B131" s="5" t="s">
        <v>379</v>
      </c>
      <c r="C131" s="2" t="s">
        <v>311</v>
      </c>
      <c r="D131" s="2" t="s">
        <v>311</v>
      </c>
      <c r="E131" s="2" t="s">
        <v>311</v>
      </c>
      <c r="F131" s="2" t="s">
        <v>311</v>
      </c>
      <c r="G131" s="2" t="s">
        <v>489</v>
      </c>
      <c r="H131" s="2" t="s">
        <v>278</v>
      </c>
      <c r="I131" s="2" t="s">
        <v>311</v>
      </c>
      <c r="J131" s="2" t="s">
        <v>311</v>
      </c>
      <c r="K131" s="2" t="s">
        <v>311</v>
      </c>
      <c r="L131" s="2" t="s">
        <v>311</v>
      </c>
      <c r="M131" s="2" t="s">
        <v>311</v>
      </c>
      <c r="N131" s="2" t="s">
        <v>311</v>
      </c>
      <c r="O131" s="32">
        <f t="shared" si="2"/>
        <v>1</v>
      </c>
      <c r="P131" s="36" t="b">
        <v>1</v>
      </c>
      <c r="Q131" s="35"/>
      <c r="R131" s="38">
        <v>21814</v>
      </c>
      <c r="S131" s="50"/>
      <c r="T131" s="59"/>
    </row>
    <row r="132" spans="1:20" x14ac:dyDescent="0.25">
      <c r="A132" s="27" t="s">
        <v>430</v>
      </c>
      <c r="B132" s="5" t="s">
        <v>385</v>
      </c>
      <c r="C132" s="2" t="s">
        <v>311</v>
      </c>
      <c r="D132" s="2" t="s">
        <v>311</v>
      </c>
      <c r="E132" s="2" t="s">
        <v>311</v>
      </c>
      <c r="F132" s="2" t="s">
        <v>311</v>
      </c>
      <c r="G132" s="2" t="s">
        <v>489</v>
      </c>
      <c r="H132" s="2" t="s">
        <v>278</v>
      </c>
      <c r="I132" s="2" t="s">
        <v>311</v>
      </c>
      <c r="J132" s="2" t="s">
        <v>311</v>
      </c>
      <c r="K132" s="2" t="s">
        <v>311</v>
      </c>
      <c r="L132" s="2" t="s">
        <v>311</v>
      </c>
      <c r="M132" s="2" t="s">
        <v>311</v>
      </c>
      <c r="N132" s="2" t="s">
        <v>311</v>
      </c>
      <c r="O132" s="32">
        <f t="shared" si="2"/>
        <v>1</v>
      </c>
      <c r="P132" s="36" t="b">
        <v>1</v>
      </c>
      <c r="Q132" s="35"/>
      <c r="R132" s="38">
        <v>21815</v>
      </c>
      <c r="S132" s="50"/>
      <c r="T132" s="59"/>
    </row>
    <row r="133" spans="1:20" x14ac:dyDescent="0.25">
      <c r="A133" s="27" t="s">
        <v>429</v>
      </c>
      <c r="B133" s="5" t="s">
        <v>365</v>
      </c>
      <c r="C133" s="2" t="s">
        <v>311</v>
      </c>
      <c r="D133" s="2" t="s">
        <v>311</v>
      </c>
      <c r="E133" s="2" t="s">
        <v>311</v>
      </c>
      <c r="F133" s="2" t="s">
        <v>311</v>
      </c>
      <c r="G133" s="2" t="s">
        <v>311</v>
      </c>
      <c r="H133" s="2" t="s">
        <v>311</v>
      </c>
      <c r="I133" s="2" t="s">
        <v>311</v>
      </c>
      <c r="J133" s="2" t="s">
        <v>311</v>
      </c>
      <c r="K133" s="2" t="s">
        <v>311</v>
      </c>
      <c r="L133" s="2" t="s">
        <v>311</v>
      </c>
      <c r="M133" s="2" t="s">
        <v>311</v>
      </c>
      <c r="N133" s="2" t="s">
        <v>311</v>
      </c>
      <c r="O133" s="29">
        <f t="shared" si="2"/>
        <v>1</v>
      </c>
      <c r="P133" s="34" t="b">
        <v>1</v>
      </c>
      <c r="Q133" s="38"/>
      <c r="R133" s="38">
        <v>2182</v>
      </c>
      <c r="S133" s="50"/>
      <c r="T133" s="59"/>
    </row>
    <row r="134" spans="1:20" x14ac:dyDescent="0.25">
      <c r="A134" s="27" t="s">
        <v>430</v>
      </c>
      <c r="B134" s="5" t="s">
        <v>359</v>
      </c>
      <c r="C134" s="2" t="s">
        <v>311</v>
      </c>
      <c r="D134" s="2" t="s">
        <v>311</v>
      </c>
      <c r="E134" s="2" t="s">
        <v>311</v>
      </c>
      <c r="F134" s="2" t="s">
        <v>311</v>
      </c>
      <c r="G134" s="2" t="s">
        <v>489</v>
      </c>
      <c r="H134" s="2" t="s">
        <v>278</v>
      </c>
      <c r="I134" s="2" t="s">
        <v>311</v>
      </c>
      <c r="J134" s="2" t="s">
        <v>311</v>
      </c>
      <c r="K134" s="2" t="s">
        <v>311</v>
      </c>
      <c r="L134" s="2" t="s">
        <v>311</v>
      </c>
      <c r="M134" s="2" t="s">
        <v>311</v>
      </c>
      <c r="N134" s="2" t="s">
        <v>311</v>
      </c>
      <c r="O134" s="32">
        <f t="shared" si="2"/>
        <v>1</v>
      </c>
      <c r="P134" s="36" t="b">
        <v>1</v>
      </c>
      <c r="Q134" s="35"/>
      <c r="R134" s="38">
        <v>21821</v>
      </c>
      <c r="S134" s="50"/>
      <c r="T134" s="59"/>
    </row>
    <row r="135" spans="1:20" x14ac:dyDescent="0.25">
      <c r="A135" s="27" t="s">
        <v>429</v>
      </c>
      <c r="B135" s="5" t="s">
        <v>374</v>
      </c>
      <c r="C135" s="2" t="s">
        <v>311</v>
      </c>
      <c r="D135" s="2" t="s">
        <v>311</v>
      </c>
      <c r="E135" s="2" t="s">
        <v>311</v>
      </c>
      <c r="F135" s="2" t="s">
        <v>311</v>
      </c>
      <c r="G135" s="2" t="s">
        <v>311</v>
      </c>
      <c r="H135" s="2" t="s">
        <v>311</v>
      </c>
      <c r="I135" s="2" t="s">
        <v>311</v>
      </c>
      <c r="J135" s="2" t="s">
        <v>311</v>
      </c>
      <c r="K135" s="2" t="s">
        <v>311</v>
      </c>
      <c r="L135" s="2" t="s">
        <v>311</v>
      </c>
      <c r="M135" s="2" t="s">
        <v>311</v>
      </c>
      <c r="N135" s="2" t="s">
        <v>311</v>
      </c>
      <c r="O135" s="32">
        <f t="shared" si="2"/>
        <v>1</v>
      </c>
      <c r="P135" s="36" t="b">
        <v>1</v>
      </c>
      <c r="Q135" s="35"/>
      <c r="R135" s="38">
        <v>2183</v>
      </c>
      <c r="S135" s="50"/>
      <c r="T135" s="59"/>
    </row>
    <row r="136" spans="1:20" x14ac:dyDescent="0.25">
      <c r="A136" s="27" t="s">
        <v>429</v>
      </c>
      <c r="B136" s="5" t="s">
        <v>380</v>
      </c>
      <c r="C136" s="2" t="s">
        <v>311</v>
      </c>
      <c r="D136" s="2" t="s">
        <v>311</v>
      </c>
      <c r="E136" s="2" t="s">
        <v>311</v>
      </c>
      <c r="F136" s="2" t="s">
        <v>311</v>
      </c>
      <c r="G136" s="2" t="s">
        <v>489</v>
      </c>
      <c r="H136" s="2" t="s">
        <v>278</v>
      </c>
      <c r="I136" s="2" t="s">
        <v>311</v>
      </c>
      <c r="J136" s="2" t="s">
        <v>311</v>
      </c>
      <c r="K136" s="2" t="s">
        <v>311</v>
      </c>
      <c r="L136" s="2" t="s">
        <v>311</v>
      </c>
      <c r="M136" s="2" t="s">
        <v>311</v>
      </c>
      <c r="N136" s="2" t="s">
        <v>311</v>
      </c>
      <c r="O136" s="32">
        <f t="shared" si="2"/>
        <v>1</v>
      </c>
      <c r="P136" s="36" t="b">
        <v>1</v>
      </c>
      <c r="Q136" s="35"/>
      <c r="R136" s="38">
        <v>2184</v>
      </c>
      <c r="S136" s="50"/>
      <c r="T136" s="59"/>
    </row>
    <row r="137" spans="1:20" x14ac:dyDescent="0.25">
      <c r="A137" s="27" t="s">
        <v>429</v>
      </c>
      <c r="B137" s="5" t="s">
        <v>386</v>
      </c>
      <c r="C137" s="2" t="s">
        <v>311</v>
      </c>
      <c r="D137" s="2" t="s">
        <v>311</v>
      </c>
      <c r="E137" s="2" t="s">
        <v>311</v>
      </c>
      <c r="F137" s="2" t="s">
        <v>311</v>
      </c>
      <c r="G137" s="2" t="s">
        <v>489</v>
      </c>
      <c r="H137" s="2" t="s">
        <v>278</v>
      </c>
      <c r="I137" s="2" t="s">
        <v>311</v>
      </c>
      <c r="J137" s="2" t="s">
        <v>311</v>
      </c>
      <c r="K137" s="2" t="s">
        <v>311</v>
      </c>
      <c r="L137" s="2" t="s">
        <v>311</v>
      </c>
      <c r="M137" s="2" t="s">
        <v>311</v>
      </c>
      <c r="N137" s="2" t="s">
        <v>311</v>
      </c>
      <c r="O137" s="32">
        <f t="shared" si="2"/>
        <v>1</v>
      </c>
      <c r="P137" s="36" t="b">
        <v>1</v>
      </c>
      <c r="Q137" s="35"/>
      <c r="R137" s="38">
        <v>2185</v>
      </c>
      <c r="S137" s="50"/>
      <c r="T137" s="59"/>
    </row>
    <row r="138" spans="1:20" x14ac:dyDescent="0.25">
      <c r="A138" s="27" t="s">
        <v>429</v>
      </c>
      <c r="B138" s="5" t="s">
        <v>387</v>
      </c>
      <c r="C138" s="2" t="s">
        <v>311</v>
      </c>
      <c r="D138" s="2" t="s">
        <v>311</v>
      </c>
      <c r="E138" s="2" t="s">
        <v>311</v>
      </c>
      <c r="F138" s="2" t="s">
        <v>311</v>
      </c>
      <c r="G138" s="2" t="s">
        <v>489</v>
      </c>
      <c r="H138" s="2" t="s">
        <v>278</v>
      </c>
      <c r="I138" s="2" t="s">
        <v>311</v>
      </c>
      <c r="J138" s="2" t="s">
        <v>311</v>
      </c>
      <c r="K138" s="2" t="s">
        <v>311</v>
      </c>
      <c r="L138" s="2" t="s">
        <v>311</v>
      </c>
      <c r="M138" s="2" t="s">
        <v>311</v>
      </c>
      <c r="N138" s="2" t="s">
        <v>311</v>
      </c>
      <c r="O138" s="32">
        <f t="shared" si="2"/>
        <v>1</v>
      </c>
      <c r="P138" s="36" t="b">
        <v>1</v>
      </c>
      <c r="Q138" s="35"/>
      <c r="R138" s="38">
        <v>2186</v>
      </c>
      <c r="S138" s="50"/>
      <c r="T138" s="59"/>
    </row>
    <row r="139" spans="1:20" x14ac:dyDescent="0.25">
      <c r="A139" s="27" t="s">
        <v>429</v>
      </c>
      <c r="B139" s="5" t="s">
        <v>388</v>
      </c>
      <c r="C139" s="2" t="s">
        <v>311</v>
      </c>
      <c r="D139" s="2" t="s">
        <v>311</v>
      </c>
      <c r="E139" s="2" t="s">
        <v>311</v>
      </c>
      <c r="F139" s="2" t="s">
        <v>311</v>
      </c>
      <c r="G139" s="2" t="s">
        <v>489</v>
      </c>
      <c r="H139" s="2" t="s">
        <v>278</v>
      </c>
      <c r="I139" s="2" t="s">
        <v>311</v>
      </c>
      <c r="J139" s="2" t="s">
        <v>311</v>
      </c>
      <c r="K139" s="2" t="s">
        <v>311</v>
      </c>
      <c r="L139" s="2" t="s">
        <v>311</v>
      </c>
      <c r="M139" s="2" t="s">
        <v>311</v>
      </c>
      <c r="N139" s="2" t="s">
        <v>311</v>
      </c>
      <c r="O139" s="32">
        <f t="shared" si="2"/>
        <v>1</v>
      </c>
      <c r="P139" s="36" t="b">
        <v>1</v>
      </c>
      <c r="Q139" s="35"/>
      <c r="R139" s="38">
        <v>2187</v>
      </c>
      <c r="S139" s="50"/>
      <c r="T139" s="59"/>
    </row>
    <row r="140" spans="1:20" x14ac:dyDescent="0.25">
      <c r="A140" s="27" t="s">
        <v>429</v>
      </c>
      <c r="B140" s="5" t="s">
        <v>389</v>
      </c>
      <c r="C140" s="2" t="s">
        <v>311</v>
      </c>
      <c r="D140" s="2" t="s">
        <v>311</v>
      </c>
      <c r="E140" s="2" t="s">
        <v>311</v>
      </c>
      <c r="F140" s="2" t="s">
        <v>311</v>
      </c>
      <c r="G140" s="2" t="s">
        <v>489</v>
      </c>
      <c r="H140" s="2" t="s">
        <v>278</v>
      </c>
      <c r="I140" s="2" t="s">
        <v>311</v>
      </c>
      <c r="J140" s="2" t="s">
        <v>311</v>
      </c>
      <c r="K140" s="2" t="s">
        <v>311</v>
      </c>
      <c r="L140" s="2" t="s">
        <v>311</v>
      </c>
      <c r="M140" s="2" t="s">
        <v>311</v>
      </c>
      <c r="N140" s="2" t="s">
        <v>311</v>
      </c>
      <c r="O140" s="32">
        <f t="shared" si="2"/>
        <v>1</v>
      </c>
      <c r="P140" s="36" t="b">
        <v>1</v>
      </c>
      <c r="Q140" s="35"/>
      <c r="R140" s="38">
        <v>2188</v>
      </c>
      <c r="S140" s="50"/>
      <c r="T140" s="59"/>
    </row>
    <row r="141" spans="1:20" x14ac:dyDescent="0.25">
      <c r="A141" s="27" t="s">
        <v>429</v>
      </c>
      <c r="B141" s="5" t="s">
        <v>390</v>
      </c>
      <c r="C141" s="2" t="s">
        <v>311</v>
      </c>
      <c r="D141" s="2" t="s">
        <v>311</v>
      </c>
      <c r="E141" s="2" t="s">
        <v>311</v>
      </c>
      <c r="F141" s="1" t="s">
        <v>508</v>
      </c>
      <c r="G141" s="2" t="s">
        <v>276</v>
      </c>
      <c r="H141" s="2" t="s">
        <v>278</v>
      </c>
      <c r="I141" s="2" t="s">
        <v>311</v>
      </c>
      <c r="J141" s="2" t="s">
        <v>311</v>
      </c>
      <c r="K141" s="2" t="s">
        <v>311</v>
      </c>
      <c r="L141" s="2" t="s">
        <v>311</v>
      </c>
      <c r="M141" s="2" t="s">
        <v>311</v>
      </c>
      <c r="N141" s="2" t="s">
        <v>311</v>
      </c>
      <c r="O141" s="32">
        <f t="shared" si="2"/>
        <v>1</v>
      </c>
      <c r="P141" s="36" t="b">
        <v>1</v>
      </c>
      <c r="Q141" s="35"/>
      <c r="R141" s="38">
        <v>2189</v>
      </c>
      <c r="S141" s="50"/>
      <c r="T141" s="59"/>
    </row>
    <row r="142" spans="1:20" x14ac:dyDescent="0.25">
      <c r="A142" s="27" t="s">
        <v>429</v>
      </c>
      <c r="B142" s="5" t="s">
        <v>391</v>
      </c>
      <c r="C142" s="2" t="s">
        <v>311</v>
      </c>
      <c r="D142" s="2" t="s">
        <v>311</v>
      </c>
      <c r="E142" s="2" t="s">
        <v>311</v>
      </c>
      <c r="F142" s="2" t="s">
        <v>311</v>
      </c>
      <c r="G142" s="2" t="s">
        <v>285</v>
      </c>
      <c r="H142" s="2" t="s">
        <v>490</v>
      </c>
      <c r="I142" s="2" t="s">
        <v>311</v>
      </c>
      <c r="J142" s="2" t="s">
        <v>311</v>
      </c>
      <c r="K142" s="2" t="s">
        <v>311</v>
      </c>
      <c r="L142" s="2" t="s">
        <v>311</v>
      </c>
      <c r="M142" s="2" t="s">
        <v>311</v>
      </c>
      <c r="N142" s="2" t="s">
        <v>311</v>
      </c>
      <c r="O142" s="32">
        <f t="shared" si="2"/>
        <v>1</v>
      </c>
      <c r="P142" s="36" t="b">
        <v>1</v>
      </c>
      <c r="Q142" s="35"/>
      <c r="R142" s="38">
        <v>21810</v>
      </c>
      <c r="S142" s="50"/>
      <c r="T142" s="59"/>
    </row>
    <row r="143" spans="1:20" x14ac:dyDescent="0.25">
      <c r="A143" s="26" t="s">
        <v>39</v>
      </c>
      <c r="B143" s="26" t="s">
        <v>442</v>
      </c>
      <c r="C143" s="40" t="s">
        <v>477</v>
      </c>
      <c r="D143" s="40" t="s">
        <v>333</v>
      </c>
      <c r="E143" s="40" t="s">
        <v>336</v>
      </c>
      <c r="F143" s="40" t="s">
        <v>477</v>
      </c>
      <c r="G143" s="40" t="s">
        <v>333</v>
      </c>
      <c r="H143" s="40" t="s">
        <v>336</v>
      </c>
      <c r="I143" s="40" t="s">
        <v>477</v>
      </c>
      <c r="J143" s="40" t="s">
        <v>333</v>
      </c>
      <c r="K143" s="40" t="s">
        <v>336</v>
      </c>
      <c r="L143" s="40" t="s">
        <v>477</v>
      </c>
      <c r="M143" s="40" t="s">
        <v>333</v>
      </c>
      <c r="N143" s="40" t="s">
        <v>478</v>
      </c>
      <c r="O143" s="29">
        <f>COUNTIF(P143,"VRAI")</f>
        <v>1</v>
      </c>
      <c r="P143" s="34" t="b">
        <v>1</v>
      </c>
      <c r="Q143" s="38"/>
      <c r="R143" s="38">
        <v>22</v>
      </c>
      <c r="S143" s="50"/>
      <c r="T143" s="59"/>
    </row>
    <row r="144" spans="1:20" x14ac:dyDescent="0.25">
      <c r="A144" s="27" t="s">
        <v>361</v>
      </c>
      <c r="B144" s="5" t="s">
        <v>392</v>
      </c>
      <c r="C144" s="2" t="s">
        <v>311</v>
      </c>
      <c r="D144" s="2" t="s">
        <v>479</v>
      </c>
      <c r="E144" s="2" t="s">
        <v>311</v>
      </c>
      <c r="F144" s="4" t="s">
        <v>507</v>
      </c>
      <c r="G144" s="2" t="s">
        <v>479</v>
      </c>
      <c r="H144" s="2" t="s">
        <v>278</v>
      </c>
      <c r="I144" s="45" t="s">
        <v>507</v>
      </c>
      <c r="J144" s="2" t="s">
        <v>258</v>
      </c>
      <c r="K144" s="2" t="s">
        <v>311</v>
      </c>
      <c r="L144" s="1" t="s">
        <v>291</v>
      </c>
      <c r="M144" s="2" t="s">
        <v>293</v>
      </c>
      <c r="N144" s="4" t="s">
        <v>311</v>
      </c>
      <c r="O144" s="32">
        <f t="shared" ref="O144:O152" si="3">COUNTIF(P144,"VRAI")</f>
        <v>1</v>
      </c>
      <c r="P144" s="36" t="b">
        <v>1</v>
      </c>
      <c r="Q144" s="35"/>
      <c r="R144" s="38">
        <v>2211</v>
      </c>
      <c r="S144" s="50"/>
      <c r="T144" s="59"/>
    </row>
    <row r="145" spans="1:20" x14ac:dyDescent="0.25">
      <c r="A145" s="27" t="s">
        <v>361</v>
      </c>
      <c r="B145" s="5" t="s">
        <v>393</v>
      </c>
      <c r="C145" s="2" t="s">
        <v>311</v>
      </c>
      <c r="D145" s="2" t="s">
        <v>479</v>
      </c>
      <c r="E145" s="2" t="s">
        <v>311</v>
      </c>
      <c r="F145" s="4" t="s">
        <v>507</v>
      </c>
      <c r="G145" s="2" t="s">
        <v>479</v>
      </c>
      <c r="H145" s="2" t="s">
        <v>278</v>
      </c>
      <c r="I145" s="45" t="s">
        <v>507</v>
      </c>
      <c r="J145" s="2" t="s">
        <v>258</v>
      </c>
      <c r="K145" s="2" t="s">
        <v>311</v>
      </c>
      <c r="L145" s="1" t="s">
        <v>291</v>
      </c>
      <c r="M145" s="2" t="s">
        <v>293</v>
      </c>
      <c r="N145" s="4" t="s">
        <v>311</v>
      </c>
      <c r="O145" s="29">
        <f t="shared" si="3"/>
        <v>0</v>
      </c>
      <c r="P145" s="34" t="b">
        <v>0</v>
      </c>
      <c r="Q145" s="38"/>
      <c r="R145" s="38">
        <v>2212</v>
      </c>
      <c r="S145" s="50"/>
      <c r="T145" s="59"/>
    </row>
    <row r="146" spans="1:20" x14ac:dyDescent="0.25">
      <c r="A146" s="27" t="s">
        <v>361</v>
      </c>
      <c r="B146" s="5" t="s">
        <v>394</v>
      </c>
      <c r="C146" s="2" t="s">
        <v>311</v>
      </c>
      <c r="D146" s="2" t="s">
        <v>479</v>
      </c>
      <c r="E146" s="2" t="s">
        <v>311</v>
      </c>
      <c r="F146" s="2" t="s">
        <v>311</v>
      </c>
      <c r="G146" s="2" t="s">
        <v>285</v>
      </c>
      <c r="H146" s="2" t="s">
        <v>505</v>
      </c>
      <c r="I146" s="45" t="s">
        <v>311</v>
      </c>
      <c r="J146" s="2" t="s">
        <v>311</v>
      </c>
      <c r="K146" s="2" t="s">
        <v>311</v>
      </c>
      <c r="L146" s="1" t="s">
        <v>294</v>
      </c>
      <c r="M146" s="2" t="s">
        <v>293</v>
      </c>
      <c r="N146" s="4" t="s">
        <v>311</v>
      </c>
      <c r="O146" s="32">
        <f t="shared" si="3"/>
        <v>1</v>
      </c>
      <c r="P146" s="36" t="b">
        <v>1</v>
      </c>
      <c r="Q146" s="35"/>
      <c r="R146" s="38">
        <v>2213</v>
      </c>
      <c r="S146" s="50"/>
      <c r="T146" s="59"/>
    </row>
    <row r="147" spans="1:20" x14ac:dyDescent="0.25">
      <c r="A147" s="27" t="s">
        <v>361</v>
      </c>
      <c r="B147" s="5" t="s">
        <v>395</v>
      </c>
      <c r="C147" s="2" t="s">
        <v>311</v>
      </c>
      <c r="D147" s="2" t="s">
        <v>479</v>
      </c>
      <c r="E147" s="2" t="s">
        <v>311</v>
      </c>
      <c r="F147" s="2" t="s">
        <v>298</v>
      </c>
      <c r="G147" s="2" t="s">
        <v>479</v>
      </c>
      <c r="H147" s="2" t="s">
        <v>278</v>
      </c>
      <c r="I147" s="2" t="s">
        <v>311</v>
      </c>
      <c r="J147" s="2" t="s">
        <v>311</v>
      </c>
      <c r="K147" s="2" t="s">
        <v>311</v>
      </c>
      <c r="L147" s="2" t="s">
        <v>311</v>
      </c>
      <c r="M147" s="2" t="s">
        <v>311</v>
      </c>
      <c r="N147" s="2" t="s">
        <v>311</v>
      </c>
      <c r="O147" s="32">
        <f>COUNTIF(P147,"VRAI")</f>
        <v>1</v>
      </c>
      <c r="P147" s="36" t="b">
        <v>1</v>
      </c>
      <c r="Q147" s="35"/>
      <c r="R147" s="38">
        <v>2214</v>
      </c>
      <c r="S147" s="50"/>
      <c r="T147" s="59"/>
    </row>
    <row r="148" spans="1:20" x14ac:dyDescent="0.25">
      <c r="A148" s="27" t="s">
        <v>361</v>
      </c>
      <c r="B148" s="5" t="s">
        <v>396</v>
      </c>
      <c r="C148" s="2" t="s">
        <v>311</v>
      </c>
      <c r="D148" s="2" t="s">
        <v>479</v>
      </c>
      <c r="E148" s="2" t="s">
        <v>311</v>
      </c>
      <c r="F148" s="2" t="s">
        <v>311</v>
      </c>
      <c r="G148" s="2" t="s">
        <v>285</v>
      </c>
      <c r="H148" s="2" t="s">
        <v>506</v>
      </c>
      <c r="I148" s="45" t="s">
        <v>311</v>
      </c>
      <c r="J148" s="2" t="s">
        <v>311</v>
      </c>
      <c r="K148" s="2" t="s">
        <v>311</v>
      </c>
      <c r="L148" s="1" t="s">
        <v>509</v>
      </c>
      <c r="M148" s="2" t="s">
        <v>299</v>
      </c>
      <c r="N148" s="4" t="s">
        <v>311</v>
      </c>
      <c r="O148" s="32">
        <f t="shared" si="3"/>
        <v>1</v>
      </c>
      <c r="P148" s="36" t="b">
        <v>1</v>
      </c>
      <c r="Q148" s="35"/>
      <c r="R148" s="38">
        <v>2215</v>
      </c>
      <c r="S148" s="50"/>
      <c r="T148" s="59"/>
    </row>
    <row r="149" spans="1:20" x14ac:dyDescent="0.25">
      <c r="A149" s="27" t="s">
        <v>361</v>
      </c>
      <c r="B149" s="5" t="s">
        <v>397</v>
      </c>
      <c r="C149" s="2" t="s">
        <v>311</v>
      </c>
      <c r="D149" s="2" t="s">
        <v>479</v>
      </c>
      <c r="E149" s="2" t="s">
        <v>311</v>
      </c>
      <c r="F149" s="1" t="s">
        <v>514</v>
      </c>
      <c r="G149" s="2" t="s">
        <v>276</v>
      </c>
      <c r="H149" s="2" t="s">
        <v>278</v>
      </c>
      <c r="I149" s="1" t="s">
        <v>311</v>
      </c>
      <c r="J149" s="2" t="s">
        <v>258</v>
      </c>
      <c r="K149" s="2" t="s">
        <v>297</v>
      </c>
      <c r="L149" s="2" t="s">
        <v>311</v>
      </c>
      <c r="M149" s="2" t="s">
        <v>311</v>
      </c>
      <c r="N149" s="2" t="s">
        <v>311</v>
      </c>
      <c r="O149" s="32">
        <f t="shared" si="3"/>
        <v>1</v>
      </c>
      <c r="P149" s="36" t="b">
        <v>1</v>
      </c>
      <c r="Q149" s="35"/>
      <c r="R149" s="38">
        <v>2216</v>
      </c>
      <c r="S149" s="50"/>
      <c r="T149" s="59"/>
    </row>
    <row r="150" spans="1:20" x14ac:dyDescent="0.25">
      <c r="A150" s="27" t="s">
        <v>361</v>
      </c>
      <c r="B150" s="5" t="s">
        <v>400</v>
      </c>
      <c r="C150" s="2" t="s">
        <v>504</v>
      </c>
      <c r="D150" s="2" t="s">
        <v>479</v>
      </c>
      <c r="E150" s="2" t="s">
        <v>277</v>
      </c>
      <c r="F150" s="2" t="s">
        <v>508</v>
      </c>
      <c r="G150" s="2" t="s">
        <v>276</v>
      </c>
      <c r="H150" s="2" t="s">
        <v>278</v>
      </c>
      <c r="I150" s="2" t="s">
        <v>311</v>
      </c>
      <c r="J150" s="2" t="s">
        <v>311</v>
      </c>
      <c r="K150" s="2" t="s">
        <v>311</v>
      </c>
      <c r="L150" s="2" t="s">
        <v>311</v>
      </c>
      <c r="M150" s="2" t="s">
        <v>311</v>
      </c>
      <c r="N150" s="2" t="s">
        <v>311</v>
      </c>
      <c r="O150" s="32">
        <f t="shared" si="3"/>
        <v>1</v>
      </c>
      <c r="P150" s="36" t="b">
        <v>1</v>
      </c>
      <c r="Q150" s="35"/>
      <c r="R150" s="38">
        <v>222</v>
      </c>
      <c r="S150" s="50"/>
      <c r="T150" s="59"/>
    </row>
    <row r="151" spans="1:20" x14ac:dyDescent="0.25">
      <c r="A151" s="27" t="s">
        <v>361</v>
      </c>
      <c r="B151" s="5" t="s">
        <v>401</v>
      </c>
      <c r="C151" s="1" t="s">
        <v>282</v>
      </c>
      <c r="D151" s="2" t="s">
        <v>479</v>
      </c>
      <c r="E151" s="2" t="s">
        <v>278</v>
      </c>
      <c r="F151" s="2" t="s">
        <v>509</v>
      </c>
      <c r="G151" s="2" t="s">
        <v>276</v>
      </c>
      <c r="H151" s="2" t="s">
        <v>278</v>
      </c>
      <c r="I151" s="2" t="s">
        <v>311</v>
      </c>
      <c r="J151" s="2" t="s">
        <v>311</v>
      </c>
      <c r="K151" s="2" t="s">
        <v>311</v>
      </c>
      <c r="L151" s="2" t="s">
        <v>311</v>
      </c>
      <c r="M151" s="2" t="s">
        <v>311</v>
      </c>
      <c r="N151" s="2" t="s">
        <v>311</v>
      </c>
      <c r="O151" s="32">
        <f t="shared" si="3"/>
        <v>1</v>
      </c>
      <c r="P151" s="36" t="b">
        <v>1</v>
      </c>
      <c r="Q151" s="35"/>
      <c r="R151" s="38">
        <v>223</v>
      </c>
      <c r="S151" s="50"/>
      <c r="T151" s="59"/>
    </row>
    <row r="152" spans="1:20" x14ac:dyDescent="0.25">
      <c r="A152" s="27" t="s">
        <v>429</v>
      </c>
      <c r="B152" s="5" t="s">
        <v>398</v>
      </c>
      <c r="C152" s="2" t="s">
        <v>311</v>
      </c>
      <c r="D152" s="2" t="s">
        <v>479</v>
      </c>
      <c r="E152" s="2" t="s">
        <v>311</v>
      </c>
      <c r="F152" s="2" t="s">
        <v>311</v>
      </c>
      <c r="G152" s="2" t="s">
        <v>311</v>
      </c>
      <c r="H152" s="2" t="s">
        <v>311</v>
      </c>
      <c r="I152" s="2" t="s">
        <v>311</v>
      </c>
      <c r="J152" s="2" t="s">
        <v>311</v>
      </c>
      <c r="K152" s="2" t="s">
        <v>311</v>
      </c>
      <c r="L152" s="2" t="s">
        <v>311</v>
      </c>
      <c r="M152" s="2" t="s">
        <v>311</v>
      </c>
      <c r="N152" s="2" t="s">
        <v>311</v>
      </c>
      <c r="O152" s="32">
        <f t="shared" si="3"/>
        <v>1</v>
      </c>
      <c r="P152" s="36" t="b">
        <v>1</v>
      </c>
      <c r="Q152" s="35"/>
      <c r="R152" s="38">
        <v>2231</v>
      </c>
      <c r="S152" s="50"/>
      <c r="T152" s="59"/>
    </row>
    <row r="153" spans="1:20" x14ac:dyDescent="0.25">
      <c r="A153" s="27" t="s">
        <v>429</v>
      </c>
      <c r="B153" s="5" t="s">
        <v>399</v>
      </c>
      <c r="C153" s="2" t="s">
        <v>311</v>
      </c>
      <c r="D153" s="2" t="s">
        <v>479</v>
      </c>
      <c r="E153" s="2" t="s">
        <v>311</v>
      </c>
      <c r="F153" s="2" t="s">
        <v>311</v>
      </c>
      <c r="G153" s="2" t="s">
        <v>311</v>
      </c>
      <c r="H153" s="2" t="s">
        <v>311</v>
      </c>
      <c r="I153" s="2" t="s">
        <v>311</v>
      </c>
      <c r="J153" s="2" t="s">
        <v>311</v>
      </c>
      <c r="K153" s="2" t="s">
        <v>311</v>
      </c>
      <c r="L153" s="2" t="s">
        <v>311</v>
      </c>
      <c r="M153" s="2" t="s">
        <v>311</v>
      </c>
      <c r="N153" s="2" t="s">
        <v>311</v>
      </c>
      <c r="O153" s="32">
        <f t="shared" ref="O153:O174" si="4">COUNTIF(P153,"VRAI")</f>
        <v>1</v>
      </c>
      <c r="P153" s="36" t="b">
        <v>1</v>
      </c>
      <c r="Q153" s="35"/>
      <c r="R153" s="38">
        <v>2232</v>
      </c>
      <c r="S153" s="50"/>
      <c r="T153" s="59"/>
    </row>
    <row r="154" spans="1:20" x14ac:dyDescent="0.25">
      <c r="A154" s="26" t="s">
        <v>39</v>
      </c>
      <c r="B154" s="26" t="s">
        <v>437</v>
      </c>
      <c r="C154" s="40" t="s">
        <v>477</v>
      </c>
      <c r="D154" s="40" t="s">
        <v>333</v>
      </c>
      <c r="E154" s="40" t="s">
        <v>336</v>
      </c>
      <c r="F154" s="40" t="s">
        <v>477</v>
      </c>
      <c r="G154" s="40" t="s">
        <v>333</v>
      </c>
      <c r="H154" s="40" t="s">
        <v>336</v>
      </c>
      <c r="I154" s="40" t="s">
        <v>477</v>
      </c>
      <c r="J154" s="40" t="s">
        <v>333</v>
      </c>
      <c r="K154" s="40" t="s">
        <v>336</v>
      </c>
      <c r="L154" s="40" t="s">
        <v>477</v>
      </c>
      <c r="M154" s="40" t="s">
        <v>333</v>
      </c>
      <c r="N154" s="40" t="s">
        <v>478</v>
      </c>
      <c r="O154" s="29">
        <f t="shared" si="4"/>
        <v>1</v>
      </c>
      <c r="P154" s="34" t="b">
        <v>1</v>
      </c>
      <c r="Q154" s="38"/>
      <c r="R154" s="38">
        <v>23</v>
      </c>
      <c r="S154" s="50"/>
      <c r="T154" s="59"/>
    </row>
    <row r="155" spans="1:20" x14ac:dyDescent="0.25">
      <c r="A155" s="27" t="s">
        <v>361</v>
      </c>
      <c r="B155" s="5" t="s">
        <v>449</v>
      </c>
      <c r="C155" s="2" t="s">
        <v>517</v>
      </c>
      <c r="D155" s="2" t="s">
        <v>276</v>
      </c>
      <c r="E155" s="2" t="s">
        <v>277</v>
      </c>
      <c r="F155" s="4" t="s">
        <v>311</v>
      </c>
      <c r="G155" s="2" t="s">
        <v>258</v>
      </c>
      <c r="H155" s="2" t="s">
        <v>311</v>
      </c>
      <c r="I155" s="45" t="s">
        <v>306</v>
      </c>
      <c r="J155" s="2" t="s">
        <v>258</v>
      </c>
      <c r="K155" s="2" t="s">
        <v>338</v>
      </c>
      <c r="L155" s="4" t="s">
        <v>300</v>
      </c>
      <c r="M155" s="2" t="s">
        <v>293</v>
      </c>
      <c r="N155" s="4" t="s">
        <v>311</v>
      </c>
      <c r="O155" s="32">
        <f t="shared" si="4"/>
        <v>1</v>
      </c>
      <c r="P155" s="36" t="b">
        <v>1</v>
      </c>
      <c r="Q155" s="35"/>
      <c r="R155" s="38">
        <v>231</v>
      </c>
      <c r="S155" s="50"/>
      <c r="T155" s="59"/>
    </row>
    <row r="156" spans="1:20" x14ac:dyDescent="0.25">
      <c r="A156" s="27" t="s">
        <v>361</v>
      </c>
      <c r="B156" s="5" t="s">
        <v>450</v>
      </c>
      <c r="C156" s="2" t="s">
        <v>517</v>
      </c>
      <c r="D156" s="2" t="s">
        <v>276</v>
      </c>
      <c r="E156" s="2" t="s">
        <v>277</v>
      </c>
      <c r="F156" s="2" t="s">
        <v>310</v>
      </c>
      <c r="G156" s="2" t="s">
        <v>276</v>
      </c>
      <c r="H156" s="2" t="s">
        <v>278</v>
      </c>
      <c r="I156" s="2" t="s">
        <v>311</v>
      </c>
      <c r="J156" s="2" t="s">
        <v>311</v>
      </c>
      <c r="K156" s="2" t="s">
        <v>311</v>
      </c>
      <c r="L156" s="2" t="s">
        <v>311</v>
      </c>
      <c r="M156" s="2" t="s">
        <v>311</v>
      </c>
      <c r="N156" s="2" t="s">
        <v>311</v>
      </c>
      <c r="O156" s="32">
        <f t="shared" ref="O156:O157" si="5">COUNTIF(P156,"VRAI")</f>
        <v>1</v>
      </c>
      <c r="P156" s="36" t="b">
        <v>1</v>
      </c>
      <c r="Q156" s="35"/>
      <c r="R156" s="38">
        <v>232</v>
      </c>
      <c r="S156" s="50"/>
      <c r="T156" s="59"/>
    </row>
    <row r="157" spans="1:20" x14ac:dyDescent="0.25">
      <c r="A157" s="27" t="s">
        <v>429</v>
      </c>
      <c r="B157" s="5" t="s">
        <v>398</v>
      </c>
      <c r="C157" s="2" t="s">
        <v>311</v>
      </c>
      <c r="D157" s="2" t="s">
        <v>311</v>
      </c>
      <c r="E157" s="2" t="s">
        <v>311</v>
      </c>
      <c r="F157" s="2" t="s">
        <v>311</v>
      </c>
      <c r="G157" s="2" t="s">
        <v>311</v>
      </c>
      <c r="H157" s="2" t="s">
        <v>311</v>
      </c>
      <c r="I157" s="2" t="s">
        <v>311</v>
      </c>
      <c r="J157" s="2" t="s">
        <v>311</v>
      </c>
      <c r="K157" s="2" t="s">
        <v>311</v>
      </c>
      <c r="L157" s="2" t="s">
        <v>311</v>
      </c>
      <c r="M157" s="2" t="s">
        <v>311</v>
      </c>
      <c r="N157" s="2" t="s">
        <v>311</v>
      </c>
      <c r="O157" s="32">
        <f t="shared" si="5"/>
        <v>1</v>
      </c>
      <c r="P157" s="36" t="b">
        <v>1</v>
      </c>
      <c r="Q157" s="35"/>
      <c r="R157" s="38">
        <v>2321</v>
      </c>
      <c r="S157" s="50"/>
      <c r="T157" s="59"/>
    </row>
    <row r="158" spans="1:20" x14ac:dyDescent="0.25">
      <c r="A158" s="27" t="s">
        <v>429</v>
      </c>
      <c r="B158" s="5" t="s">
        <v>451</v>
      </c>
      <c r="C158" s="2" t="s">
        <v>311</v>
      </c>
      <c r="D158" s="2" t="s">
        <v>311</v>
      </c>
      <c r="E158" s="2" t="s">
        <v>311</v>
      </c>
      <c r="F158" s="2" t="s">
        <v>311</v>
      </c>
      <c r="G158" s="2" t="s">
        <v>311</v>
      </c>
      <c r="H158" s="2" t="s">
        <v>311</v>
      </c>
      <c r="I158" s="2" t="s">
        <v>311</v>
      </c>
      <c r="J158" s="2" t="s">
        <v>311</v>
      </c>
      <c r="K158" s="2" t="s">
        <v>311</v>
      </c>
      <c r="L158" s="2" t="s">
        <v>311</v>
      </c>
      <c r="M158" s="2" t="s">
        <v>311</v>
      </c>
      <c r="N158" s="2" t="s">
        <v>311</v>
      </c>
      <c r="O158" s="32">
        <f t="shared" ref="O158" si="6">COUNTIF(P158,"VRAI")</f>
        <v>1</v>
      </c>
      <c r="P158" s="36" t="b">
        <v>1</v>
      </c>
      <c r="Q158" s="35"/>
      <c r="R158" s="38">
        <v>2322</v>
      </c>
      <c r="S158" s="50"/>
      <c r="T158" s="59"/>
    </row>
    <row r="159" spans="1:20" x14ac:dyDescent="0.25">
      <c r="A159" s="27" t="s">
        <v>429</v>
      </c>
      <c r="B159" s="5" t="s">
        <v>452</v>
      </c>
      <c r="C159" s="2" t="s">
        <v>311</v>
      </c>
      <c r="D159" s="2" t="s">
        <v>311</v>
      </c>
      <c r="E159" s="2" t="s">
        <v>311</v>
      </c>
      <c r="F159" s="2" t="s">
        <v>311</v>
      </c>
      <c r="G159" s="2" t="s">
        <v>311</v>
      </c>
      <c r="H159" s="2" t="s">
        <v>311</v>
      </c>
      <c r="I159" s="2" t="s">
        <v>311</v>
      </c>
      <c r="J159" s="2" t="s">
        <v>311</v>
      </c>
      <c r="K159" s="2" t="s">
        <v>311</v>
      </c>
      <c r="L159" s="2" t="s">
        <v>311</v>
      </c>
      <c r="M159" s="2" t="s">
        <v>311</v>
      </c>
      <c r="N159" s="2" t="s">
        <v>311</v>
      </c>
      <c r="O159" s="32">
        <f t="shared" ref="O159" si="7">COUNTIF(P159,"VRAI")</f>
        <v>1</v>
      </c>
      <c r="P159" s="36" t="b">
        <v>1</v>
      </c>
      <c r="Q159" s="35"/>
      <c r="R159" s="38">
        <v>2323</v>
      </c>
      <c r="S159" s="50"/>
      <c r="T159" s="59"/>
    </row>
    <row r="160" spans="1:20" x14ac:dyDescent="0.25">
      <c r="A160" s="27" t="s">
        <v>429</v>
      </c>
      <c r="B160" s="5" t="s">
        <v>453</v>
      </c>
      <c r="C160" s="2" t="s">
        <v>311</v>
      </c>
      <c r="D160" s="2" t="s">
        <v>311</v>
      </c>
      <c r="E160" s="2" t="s">
        <v>311</v>
      </c>
      <c r="F160" s="2" t="s">
        <v>311</v>
      </c>
      <c r="G160" s="2" t="s">
        <v>311</v>
      </c>
      <c r="H160" s="2" t="s">
        <v>311</v>
      </c>
      <c r="I160" s="2" t="s">
        <v>311</v>
      </c>
      <c r="J160" s="2" t="s">
        <v>311</v>
      </c>
      <c r="K160" s="2" t="s">
        <v>311</v>
      </c>
      <c r="L160" s="2" t="s">
        <v>311</v>
      </c>
      <c r="M160" s="2" t="s">
        <v>311</v>
      </c>
      <c r="N160" s="2" t="s">
        <v>311</v>
      </c>
      <c r="O160" s="32">
        <f t="shared" ref="O160" si="8">COUNTIF(P160,"VRAI")</f>
        <v>1</v>
      </c>
      <c r="P160" s="36" t="b">
        <v>1</v>
      </c>
      <c r="Q160" s="35"/>
      <c r="R160" s="38">
        <v>2324</v>
      </c>
      <c r="S160" s="50"/>
      <c r="T160" s="59"/>
    </row>
    <row r="161" spans="1:20" x14ac:dyDescent="0.25">
      <c r="A161" s="26" t="s">
        <v>39</v>
      </c>
      <c r="B161" s="26" t="s">
        <v>438</v>
      </c>
      <c r="C161" s="40" t="s">
        <v>477</v>
      </c>
      <c r="D161" s="40" t="s">
        <v>333</v>
      </c>
      <c r="E161" s="40" t="s">
        <v>336</v>
      </c>
      <c r="F161" s="40" t="s">
        <v>477</v>
      </c>
      <c r="G161" s="40" t="s">
        <v>333</v>
      </c>
      <c r="H161" s="40" t="s">
        <v>336</v>
      </c>
      <c r="I161" s="40" t="s">
        <v>477</v>
      </c>
      <c r="J161" s="40" t="s">
        <v>333</v>
      </c>
      <c r="K161" s="40" t="s">
        <v>336</v>
      </c>
      <c r="L161" s="40" t="s">
        <v>477</v>
      </c>
      <c r="M161" s="40" t="s">
        <v>333</v>
      </c>
      <c r="N161" s="40" t="s">
        <v>478</v>
      </c>
      <c r="O161" s="29">
        <f t="shared" si="4"/>
        <v>0</v>
      </c>
      <c r="P161" s="34" t="b">
        <v>0</v>
      </c>
      <c r="Q161" s="38"/>
      <c r="R161" s="38">
        <v>24</v>
      </c>
      <c r="S161" s="50"/>
      <c r="T161" s="59"/>
    </row>
    <row r="162" spans="1:20" x14ac:dyDescent="0.25">
      <c r="A162" s="27" t="s">
        <v>361</v>
      </c>
      <c r="B162" s="5" t="s">
        <v>454</v>
      </c>
      <c r="C162" s="2" t="s">
        <v>311</v>
      </c>
      <c r="D162" s="2" t="s">
        <v>285</v>
      </c>
      <c r="E162" s="2" t="s">
        <v>515</v>
      </c>
      <c r="F162" s="4" t="s">
        <v>311</v>
      </c>
      <c r="G162" s="2" t="s">
        <v>258</v>
      </c>
      <c r="H162" s="2" t="s">
        <v>311</v>
      </c>
      <c r="I162" s="4" t="s">
        <v>507</v>
      </c>
      <c r="J162" s="2" t="s">
        <v>258</v>
      </c>
      <c r="K162" s="2" t="s">
        <v>338</v>
      </c>
      <c r="L162" s="4" t="s">
        <v>284</v>
      </c>
      <c r="M162" s="2" t="s">
        <v>299</v>
      </c>
      <c r="N162" s="4" t="s">
        <v>311</v>
      </c>
      <c r="O162" s="32">
        <f t="shared" ref="O162:O164" si="9">COUNTIF(P162,"VRAI")</f>
        <v>0</v>
      </c>
      <c r="P162" s="36" t="b">
        <v>0</v>
      </c>
      <c r="Q162" s="35"/>
      <c r="R162" s="38">
        <v>241</v>
      </c>
      <c r="S162" s="50"/>
      <c r="T162" s="59"/>
    </row>
    <row r="163" spans="1:20" x14ac:dyDescent="0.25">
      <c r="A163" s="27" t="s">
        <v>361</v>
      </c>
      <c r="B163" s="5" t="s">
        <v>455</v>
      </c>
      <c r="C163" s="2" t="s">
        <v>311</v>
      </c>
      <c r="D163" s="2" t="s">
        <v>311</v>
      </c>
      <c r="E163" s="2" t="s">
        <v>311</v>
      </c>
      <c r="F163" s="2" t="s">
        <v>311</v>
      </c>
      <c r="G163" s="2" t="s">
        <v>311</v>
      </c>
      <c r="H163" s="2" t="s">
        <v>311</v>
      </c>
      <c r="I163" s="2" t="s">
        <v>311</v>
      </c>
      <c r="J163" s="2" t="s">
        <v>311</v>
      </c>
      <c r="K163" s="2" t="s">
        <v>311</v>
      </c>
      <c r="L163" s="2" t="s">
        <v>311</v>
      </c>
      <c r="M163" s="2" t="s">
        <v>311</v>
      </c>
      <c r="N163" s="2" t="s">
        <v>311</v>
      </c>
      <c r="O163" s="32">
        <f t="shared" si="9"/>
        <v>0</v>
      </c>
      <c r="P163" s="36" t="b">
        <v>0</v>
      </c>
      <c r="Q163" s="35"/>
      <c r="R163" s="38">
        <v>242</v>
      </c>
      <c r="S163" s="50"/>
      <c r="T163" s="59"/>
    </row>
    <row r="164" spans="1:20" x14ac:dyDescent="0.25">
      <c r="A164" s="27" t="s">
        <v>429</v>
      </c>
      <c r="B164" s="5" t="s">
        <v>456</v>
      </c>
      <c r="C164" s="2" t="s">
        <v>311</v>
      </c>
      <c r="D164" s="2" t="s">
        <v>311</v>
      </c>
      <c r="E164" s="2" t="s">
        <v>311</v>
      </c>
      <c r="F164" s="2" t="s">
        <v>311</v>
      </c>
      <c r="G164" s="2" t="s">
        <v>285</v>
      </c>
      <c r="H164" s="2" t="s">
        <v>491</v>
      </c>
      <c r="I164" s="2" t="s">
        <v>311</v>
      </c>
      <c r="J164" s="2" t="s">
        <v>311</v>
      </c>
      <c r="K164" s="2" t="s">
        <v>311</v>
      </c>
      <c r="L164" s="2" t="s">
        <v>311</v>
      </c>
      <c r="M164" s="2" t="s">
        <v>311</v>
      </c>
      <c r="N164" s="2" t="s">
        <v>311</v>
      </c>
      <c r="O164" s="32">
        <f t="shared" si="9"/>
        <v>0</v>
      </c>
      <c r="P164" s="36" t="b">
        <v>0</v>
      </c>
      <c r="Q164" s="35"/>
      <c r="R164" s="38">
        <v>2421</v>
      </c>
      <c r="S164" s="50"/>
      <c r="T164" s="59"/>
    </row>
    <row r="165" spans="1:20" x14ac:dyDescent="0.25">
      <c r="A165" s="26" t="s">
        <v>39</v>
      </c>
      <c r="B165" s="26" t="s">
        <v>439</v>
      </c>
      <c r="C165" s="40" t="s">
        <v>477</v>
      </c>
      <c r="D165" s="40" t="s">
        <v>333</v>
      </c>
      <c r="E165" s="40" t="s">
        <v>336</v>
      </c>
      <c r="F165" s="40" t="s">
        <v>477</v>
      </c>
      <c r="G165" s="40" t="s">
        <v>333</v>
      </c>
      <c r="H165" s="40" t="s">
        <v>336</v>
      </c>
      <c r="I165" s="40" t="s">
        <v>477</v>
      </c>
      <c r="J165" s="40" t="s">
        <v>333</v>
      </c>
      <c r="K165" s="40" t="s">
        <v>336</v>
      </c>
      <c r="L165" s="40" t="s">
        <v>477</v>
      </c>
      <c r="M165" s="40" t="s">
        <v>333</v>
      </c>
      <c r="N165" s="40" t="s">
        <v>478</v>
      </c>
      <c r="O165" s="29">
        <f t="shared" si="4"/>
        <v>0</v>
      </c>
      <c r="P165" s="34" t="b">
        <v>0</v>
      </c>
      <c r="Q165" s="38"/>
      <c r="R165" s="38">
        <v>25</v>
      </c>
      <c r="S165" s="50"/>
      <c r="T165" s="59"/>
    </row>
    <row r="166" spans="1:20" x14ac:dyDescent="0.25">
      <c r="A166" s="27" t="s">
        <v>361</v>
      </c>
      <c r="B166" s="5" t="s">
        <v>457</v>
      </c>
      <c r="C166" s="2" t="s">
        <v>516</v>
      </c>
      <c r="D166" s="2" t="s">
        <v>276</v>
      </c>
      <c r="E166" s="2" t="s">
        <v>277</v>
      </c>
      <c r="F166" s="4" t="s">
        <v>311</v>
      </c>
      <c r="G166" s="2" t="s">
        <v>258</v>
      </c>
      <c r="H166" s="2" t="s">
        <v>311</v>
      </c>
      <c r="I166" s="45" t="s">
        <v>518</v>
      </c>
      <c r="J166" s="2" t="s">
        <v>258</v>
      </c>
      <c r="K166" s="2" t="s">
        <v>338</v>
      </c>
      <c r="L166" s="4" t="s">
        <v>289</v>
      </c>
      <c r="M166" s="2" t="s">
        <v>299</v>
      </c>
      <c r="N166" s="4" t="s">
        <v>311</v>
      </c>
      <c r="O166" s="32">
        <f t="shared" si="4"/>
        <v>0</v>
      </c>
      <c r="P166" s="36" t="b">
        <v>0</v>
      </c>
      <c r="Q166" s="35"/>
      <c r="R166" s="38">
        <v>251</v>
      </c>
      <c r="S166" s="50"/>
      <c r="T166" s="59"/>
    </row>
    <row r="167" spans="1:20" x14ac:dyDescent="0.25">
      <c r="A167" s="27" t="s">
        <v>429</v>
      </c>
      <c r="B167" s="5" t="s">
        <v>458</v>
      </c>
      <c r="C167" s="2" t="s">
        <v>311</v>
      </c>
      <c r="D167" s="2" t="s">
        <v>311</v>
      </c>
      <c r="E167" s="2" t="s">
        <v>311</v>
      </c>
      <c r="F167" s="2" t="s">
        <v>306</v>
      </c>
      <c r="G167" s="2" t="s">
        <v>479</v>
      </c>
      <c r="H167" s="2" t="s">
        <v>278</v>
      </c>
      <c r="I167" s="2" t="s">
        <v>311</v>
      </c>
      <c r="J167" s="2" t="s">
        <v>311</v>
      </c>
      <c r="K167" s="2" t="s">
        <v>311</v>
      </c>
      <c r="L167" s="2" t="s">
        <v>311</v>
      </c>
      <c r="M167" s="2" t="s">
        <v>311</v>
      </c>
      <c r="N167" s="2" t="s">
        <v>311</v>
      </c>
      <c r="O167" s="29">
        <f t="shared" si="4"/>
        <v>0</v>
      </c>
      <c r="P167" s="39" t="b">
        <v>0</v>
      </c>
      <c r="Q167" s="38"/>
      <c r="R167" s="38">
        <v>2511</v>
      </c>
      <c r="S167" s="50"/>
      <c r="T167" s="59"/>
    </row>
    <row r="168" spans="1:20" x14ac:dyDescent="0.25">
      <c r="A168" s="27" t="s">
        <v>429</v>
      </c>
      <c r="B168" s="5" t="s">
        <v>459</v>
      </c>
      <c r="C168" s="2" t="s">
        <v>311</v>
      </c>
      <c r="D168" s="2" t="s">
        <v>311</v>
      </c>
      <c r="E168" s="2" t="s">
        <v>311</v>
      </c>
      <c r="F168" s="2" t="s">
        <v>311</v>
      </c>
      <c r="G168" s="2" t="s">
        <v>285</v>
      </c>
      <c r="H168" s="2" t="s">
        <v>492</v>
      </c>
      <c r="I168" s="2" t="s">
        <v>311</v>
      </c>
      <c r="J168" s="2" t="s">
        <v>311</v>
      </c>
      <c r="K168" s="2" t="s">
        <v>311</v>
      </c>
      <c r="L168" s="2" t="s">
        <v>311</v>
      </c>
      <c r="M168" s="2" t="s">
        <v>311</v>
      </c>
      <c r="N168" s="2" t="s">
        <v>311</v>
      </c>
      <c r="O168" s="32">
        <f t="shared" si="4"/>
        <v>0</v>
      </c>
      <c r="P168" s="36" t="b">
        <v>0</v>
      </c>
      <c r="Q168" s="35"/>
      <c r="R168" s="38">
        <v>2512</v>
      </c>
      <c r="S168" s="50"/>
      <c r="T168" s="59"/>
    </row>
    <row r="169" spans="1:20" x14ac:dyDescent="0.25">
      <c r="A169" s="27" t="s">
        <v>429</v>
      </c>
      <c r="B169" s="5" t="s">
        <v>460</v>
      </c>
      <c r="C169" s="2" t="s">
        <v>284</v>
      </c>
      <c r="D169" s="2" t="s">
        <v>279</v>
      </c>
      <c r="E169" s="2" t="s">
        <v>277</v>
      </c>
      <c r="F169" s="2" t="s">
        <v>311</v>
      </c>
      <c r="G169" s="2" t="s">
        <v>285</v>
      </c>
      <c r="H169" s="2" t="s">
        <v>492</v>
      </c>
      <c r="I169" s="2" t="s">
        <v>311</v>
      </c>
      <c r="J169" s="2" t="s">
        <v>311</v>
      </c>
      <c r="K169" s="2" t="s">
        <v>311</v>
      </c>
      <c r="L169" s="2" t="s">
        <v>311</v>
      </c>
      <c r="M169" s="2" t="s">
        <v>311</v>
      </c>
      <c r="N169" s="2" t="s">
        <v>311</v>
      </c>
      <c r="O169" s="32">
        <f t="shared" si="4"/>
        <v>0</v>
      </c>
      <c r="P169" s="36" t="b">
        <v>0</v>
      </c>
      <c r="Q169" s="35"/>
      <c r="R169" s="38">
        <v>2513</v>
      </c>
      <c r="S169" s="50"/>
      <c r="T169" s="59"/>
    </row>
    <row r="170" spans="1:20" x14ac:dyDescent="0.25">
      <c r="A170" s="26" t="s">
        <v>39</v>
      </c>
      <c r="B170" s="26" t="s">
        <v>440</v>
      </c>
      <c r="C170" s="40" t="s">
        <v>477</v>
      </c>
      <c r="D170" s="40" t="s">
        <v>333</v>
      </c>
      <c r="E170" s="40" t="s">
        <v>336</v>
      </c>
      <c r="F170" s="40" t="s">
        <v>477</v>
      </c>
      <c r="G170" s="40" t="s">
        <v>333</v>
      </c>
      <c r="H170" s="40" t="s">
        <v>336</v>
      </c>
      <c r="I170" s="40" t="s">
        <v>477</v>
      </c>
      <c r="J170" s="40" t="s">
        <v>333</v>
      </c>
      <c r="K170" s="40" t="s">
        <v>336</v>
      </c>
      <c r="L170" s="40" t="s">
        <v>477</v>
      </c>
      <c r="M170" s="40" t="s">
        <v>333</v>
      </c>
      <c r="N170" s="40" t="s">
        <v>478</v>
      </c>
      <c r="O170" s="29">
        <f t="shared" si="4"/>
        <v>0</v>
      </c>
      <c r="P170" s="34" t="b">
        <v>0</v>
      </c>
      <c r="Q170" s="38"/>
      <c r="R170" s="38">
        <v>26</v>
      </c>
      <c r="S170" s="50"/>
      <c r="T170" s="59"/>
    </row>
    <row r="171" spans="1:20" x14ac:dyDescent="0.25">
      <c r="A171" s="27" t="s">
        <v>361</v>
      </c>
      <c r="B171" s="5" t="s">
        <v>531</v>
      </c>
      <c r="C171" s="2" t="s">
        <v>311</v>
      </c>
      <c r="D171" s="2" t="s">
        <v>285</v>
      </c>
      <c r="E171" s="2" t="s">
        <v>521</v>
      </c>
      <c r="F171" s="4" t="s">
        <v>311</v>
      </c>
      <c r="G171" s="2" t="s">
        <v>479</v>
      </c>
      <c r="H171" s="2" t="s">
        <v>278</v>
      </c>
      <c r="I171" s="45" t="s">
        <v>522</v>
      </c>
      <c r="J171" s="2" t="s">
        <v>258</v>
      </c>
      <c r="K171" s="2" t="s">
        <v>338</v>
      </c>
      <c r="L171" s="4" t="s">
        <v>284</v>
      </c>
      <c r="M171" s="2" t="s">
        <v>299</v>
      </c>
      <c r="N171" s="4" t="s">
        <v>311</v>
      </c>
      <c r="O171" s="32">
        <f t="shared" ref="O171" si="10">COUNTIF(P171,"VRAI")</f>
        <v>0</v>
      </c>
      <c r="P171" s="36" t="b">
        <v>0</v>
      </c>
      <c r="Q171" s="35"/>
      <c r="R171" s="38">
        <v>261</v>
      </c>
      <c r="S171" s="50"/>
      <c r="T171" s="59"/>
    </row>
    <row r="172" spans="1:20" x14ac:dyDescent="0.25">
      <c r="A172" s="26" t="s">
        <v>39</v>
      </c>
      <c r="B172" s="26" t="s">
        <v>441</v>
      </c>
      <c r="C172" s="40" t="s">
        <v>477</v>
      </c>
      <c r="D172" s="40" t="s">
        <v>333</v>
      </c>
      <c r="E172" s="40" t="s">
        <v>336</v>
      </c>
      <c r="F172" s="40" t="s">
        <v>477</v>
      </c>
      <c r="G172" s="40" t="s">
        <v>333</v>
      </c>
      <c r="H172" s="40" t="s">
        <v>336</v>
      </c>
      <c r="I172" s="40" t="s">
        <v>477</v>
      </c>
      <c r="J172" s="40" t="s">
        <v>333</v>
      </c>
      <c r="K172" s="40" t="s">
        <v>336</v>
      </c>
      <c r="L172" s="40" t="s">
        <v>477</v>
      </c>
      <c r="M172" s="40" t="s">
        <v>333</v>
      </c>
      <c r="N172" s="40" t="s">
        <v>478</v>
      </c>
      <c r="O172" s="29">
        <f t="shared" si="4"/>
        <v>0</v>
      </c>
      <c r="P172" s="34" t="b">
        <v>0</v>
      </c>
      <c r="Q172" s="38"/>
      <c r="R172" s="38">
        <v>27</v>
      </c>
      <c r="S172" s="50"/>
      <c r="T172" s="59"/>
    </row>
    <row r="173" spans="1:20" x14ac:dyDescent="0.25">
      <c r="A173" s="27" t="s">
        <v>361</v>
      </c>
      <c r="B173" s="5" t="s">
        <v>461</v>
      </c>
      <c r="C173" s="2" t="s">
        <v>517</v>
      </c>
      <c r="D173" s="2" t="s">
        <v>276</v>
      </c>
      <c r="E173" s="2" t="s">
        <v>277</v>
      </c>
      <c r="F173" s="1" t="s">
        <v>311</v>
      </c>
      <c r="G173" s="2" t="s">
        <v>479</v>
      </c>
      <c r="H173" s="2" t="s">
        <v>278</v>
      </c>
      <c r="I173" s="45" t="s">
        <v>518</v>
      </c>
      <c r="J173" s="2" t="s">
        <v>258</v>
      </c>
      <c r="K173" s="2" t="s">
        <v>338</v>
      </c>
      <c r="L173" s="4" t="s">
        <v>291</v>
      </c>
      <c r="M173" s="2" t="s">
        <v>293</v>
      </c>
      <c r="N173" s="4" t="s">
        <v>311</v>
      </c>
      <c r="O173" s="32">
        <f t="shared" si="4"/>
        <v>0</v>
      </c>
      <c r="P173" s="36" t="b">
        <v>0</v>
      </c>
      <c r="Q173" s="35"/>
      <c r="R173" s="38">
        <v>271</v>
      </c>
      <c r="S173" s="50"/>
      <c r="T173" s="59"/>
    </row>
    <row r="174" spans="1:20" x14ac:dyDescent="0.25">
      <c r="A174" s="21" t="s">
        <v>40</v>
      </c>
      <c r="B174" s="21" t="s">
        <v>445</v>
      </c>
      <c r="C174" s="65" t="s">
        <v>9</v>
      </c>
      <c r="D174" s="65"/>
      <c r="E174" s="65"/>
      <c r="F174" s="65" t="s">
        <v>10</v>
      </c>
      <c r="G174" s="65"/>
      <c r="H174" s="65"/>
      <c r="I174" s="65" t="s">
        <v>11</v>
      </c>
      <c r="J174" s="65"/>
      <c r="K174" s="65"/>
      <c r="L174" s="65" t="s">
        <v>12</v>
      </c>
      <c r="M174" s="65"/>
      <c r="N174" s="65"/>
      <c r="O174" s="31">
        <f t="shared" si="4"/>
        <v>1</v>
      </c>
      <c r="P174" s="34" t="b">
        <v>1</v>
      </c>
      <c r="Q174" s="38"/>
      <c r="R174" s="38">
        <v>3</v>
      </c>
      <c r="S174" s="50"/>
      <c r="T174" s="59"/>
    </row>
    <row r="175" spans="1:20" x14ac:dyDescent="0.25">
      <c r="A175" s="26" t="s">
        <v>39</v>
      </c>
      <c r="B175" s="26" t="s">
        <v>446</v>
      </c>
      <c r="C175" s="40" t="s">
        <v>477</v>
      </c>
      <c r="D175" s="40" t="s">
        <v>333</v>
      </c>
      <c r="E175" s="40" t="s">
        <v>336</v>
      </c>
      <c r="F175" s="40" t="s">
        <v>477</v>
      </c>
      <c r="G175" s="40" t="s">
        <v>333</v>
      </c>
      <c r="H175" s="40" t="s">
        <v>336</v>
      </c>
      <c r="I175" s="40" t="s">
        <v>477</v>
      </c>
      <c r="J175" s="40" t="s">
        <v>333</v>
      </c>
      <c r="K175" s="40" t="s">
        <v>336</v>
      </c>
      <c r="L175" s="40" t="s">
        <v>477</v>
      </c>
      <c r="M175" s="40" t="s">
        <v>333</v>
      </c>
      <c r="N175" s="40" t="s">
        <v>478</v>
      </c>
      <c r="O175" s="31">
        <f t="shared" ref="O175:O180" si="11">COUNTIF(P175,"VRAI")</f>
        <v>1</v>
      </c>
      <c r="P175" s="34" t="b">
        <v>1</v>
      </c>
      <c r="Q175" s="38"/>
      <c r="R175" s="38">
        <v>31</v>
      </c>
      <c r="S175" s="50"/>
      <c r="T175" s="59"/>
    </row>
    <row r="176" spans="1:20" x14ac:dyDescent="0.25">
      <c r="A176" s="27" t="s">
        <v>361</v>
      </c>
      <c r="B176" s="5" t="s">
        <v>423</v>
      </c>
      <c r="C176" s="1" t="s">
        <v>284</v>
      </c>
      <c r="D176" s="2" t="s">
        <v>279</v>
      </c>
      <c r="E176" s="2" t="s">
        <v>277</v>
      </c>
      <c r="F176" s="4" t="s">
        <v>311</v>
      </c>
      <c r="G176" s="2" t="s">
        <v>258</v>
      </c>
      <c r="H176" s="2" t="s">
        <v>278</v>
      </c>
      <c r="I176" s="2" t="s">
        <v>311</v>
      </c>
      <c r="J176" s="2" t="s">
        <v>311</v>
      </c>
      <c r="K176" s="2" t="s">
        <v>311</v>
      </c>
      <c r="L176" s="2" t="s">
        <v>311</v>
      </c>
      <c r="M176" s="2" t="s">
        <v>311</v>
      </c>
      <c r="N176" s="2" t="s">
        <v>311</v>
      </c>
      <c r="O176" s="37">
        <f t="shared" si="11"/>
        <v>1</v>
      </c>
      <c r="P176" s="36" t="b">
        <v>1</v>
      </c>
      <c r="Q176" s="35"/>
      <c r="R176" s="38">
        <v>311</v>
      </c>
      <c r="S176" s="50"/>
      <c r="T176" s="59"/>
    </row>
    <row r="177" spans="1:20" x14ac:dyDescent="0.25">
      <c r="A177" s="27" t="s">
        <v>361</v>
      </c>
      <c r="B177" s="5" t="s">
        <v>424</v>
      </c>
      <c r="C177" s="1" t="s">
        <v>284</v>
      </c>
      <c r="D177" s="2" t="s">
        <v>279</v>
      </c>
      <c r="E177" s="2" t="s">
        <v>277</v>
      </c>
      <c r="F177" s="2" t="s">
        <v>291</v>
      </c>
      <c r="G177" s="2" t="s">
        <v>292</v>
      </c>
      <c r="H177" s="2" t="s">
        <v>493</v>
      </c>
      <c r="I177" s="2" t="s">
        <v>311</v>
      </c>
      <c r="J177" s="2" t="s">
        <v>311</v>
      </c>
      <c r="K177" s="2" t="s">
        <v>311</v>
      </c>
      <c r="L177" s="2" t="s">
        <v>311</v>
      </c>
      <c r="M177" s="2" t="s">
        <v>311</v>
      </c>
      <c r="N177" s="2" t="s">
        <v>311</v>
      </c>
      <c r="O177" s="37">
        <f t="shared" si="11"/>
        <v>1</v>
      </c>
      <c r="P177" s="36" t="b">
        <v>1</v>
      </c>
      <c r="Q177" s="35"/>
      <c r="R177" s="38">
        <v>312</v>
      </c>
      <c r="S177" s="50"/>
      <c r="T177" s="59"/>
    </row>
    <row r="178" spans="1:20" x14ac:dyDescent="0.25">
      <c r="A178" s="27" t="s">
        <v>361</v>
      </c>
      <c r="B178" s="5" t="s">
        <v>425</v>
      </c>
      <c r="C178" s="1" t="s">
        <v>284</v>
      </c>
      <c r="D178" s="2" t="s">
        <v>279</v>
      </c>
      <c r="E178" s="2" t="s">
        <v>277</v>
      </c>
      <c r="F178" s="2" t="s">
        <v>291</v>
      </c>
      <c r="G178" s="2" t="s">
        <v>292</v>
      </c>
      <c r="H178" s="2" t="s">
        <v>493</v>
      </c>
      <c r="I178" s="2" t="s">
        <v>311</v>
      </c>
      <c r="J178" s="2" t="s">
        <v>311</v>
      </c>
      <c r="K178" s="2" t="s">
        <v>311</v>
      </c>
      <c r="L178" s="2" t="s">
        <v>311</v>
      </c>
      <c r="M178" s="2" t="s">
        <v>311</v>
      </c>
      <c r="N178" s="2" t="s">
        <v>311</v>
      </c>
      <c r="O178" s="37">
        <f t="shared" si="11"/>
        <v>1</v>
      </c>
      <c r="P178" s="36" t="b">
        <v>1</v>
      </c>
      <c r="Q178" s="35"/>
      <c r="R178" s="38">
        <v>313</v>
      </c>
      <c r="S178" s="50"/>
      <c r="T178" s="59"/>
    </row>
    <row r="179" spans="1:20" x14ac:dyDescent="0.25">
      <c r="A179" s="27" t="s">
        <v>361</v>
      </c>
      <c r="B179" s="5" t="s">
        <v>426</v>
      </c>
      <c r="C179" s="1" t="s">
        <v>311</v>
      </c>
      <c r="D179" s="2" t="s">
        <v>258</v>
      </c>
      <c r="E179" s="2" t="s">
        <v>278</v>
      </c>
      <c r="F179" s="2" t="s">
        <v>294</v>
      </c>
      <c r="G179" s="2" t="s">
        <v>494</v>
      </c>
      <c r="H179" s="2" t="s">
        <v>495</v>
      </c>
      <c r="I179" s="2" t="s">
        <v>311</v>
      </c>
      <c r="J179" s="2" t="s">
        <v>311</v>
      </c>
      <c r="K179" s="2" t="s">
        <v>311</v>
      </c>
      <c r="L179" s="2" t="s">
        <v>311</v>
      </c>
      <c r="M179" s="2" t="s">
        <v>311</v>
      </c>
      <c r="N179" s="2" t="s">
        <v>311</v>
      </c>
      <c r="O179" s="37">
        <f t="shared" si="11"/>
        <v>1</v>
      </c>
      <c r="P179" s="36" t="b">
        <v>1</v>
      </c>
      <c r="Q179" s="35"/>
      <c r="R179" s="38">
        <v>314</v>
      </c>
      <c r="S179" s="50"/>
      <c r="T179" s="59"/>
    </row>
    <row r="180" spans="1:20" x14ac:dyDescent="0.25">
      <c r="A180" s="26" t="s">
        <v>39</v>
      </c>
      <c r="B180" s="26" t="s">
        <v>447</v>
      </c>
      <c r="C180" s="40" t="s">
        <v>477</v>
      </c>
      <c r="D180" s="40" t="s">
        <v>333</v>
      </c>
      <c r="E180" s="40" t="s">
        <v>336</v>
      </c>
      <c r="F180" s="40" t="s">
        <v>477</v>
      </c>
      <c r="G180" s="40" t="s">
        <v>333</v>
      </c>
      <c r="H180" s="40" t="s">
        <v>336</v>
      </c>
      <c r="I180" s="40" t="s">
        <v>477</v>
      </c>
      <c r="J180" s="40" t="s">
        <v>333</v>
      </c>
      <c r="K180" s="40" t="s">
        <v>336</v>
      </c>
      <c r="L180" s="40" t="s">
        <v>477</v>
      </c>
      <c r="M180" s="40" t="s">
        <v>333</v>
      </c>
      <c r="N180" s="40" t="s">
        <v>478</v>
      </c>
      <c r="O180" s="31">
        <f t="shared" si="11"/>
        <v>0</v>
      </c>
      <c r="P180" s="34" t="b">
        <v>0</v>
      </c>
      <c r="Q180" s="38"/>
      <c r="R180" s="38">
        <v>32</v>
      </c>
      <c r="S180" s="50"/>
      <c r="T180" s="59"/>
    </row>
    <row r="181" spans="1:20" x14ac:dyDescent="0.25">
      <c r="A181" s="27" t="s">
        <v>361</v>
      </c>
      <c r="B181" s="5" t="s">
        <v>462</v>
      </c>
      <c r="C181" s="2" t="s">
        <v>311</v>
      </c>
      <c r="D181" s="2" t="s">
        <v>311</v>
      </c>
      <c r="E181" s="2" t="s">
        <v>311</v>
      </c>
      <c r="F181" s="2" t="s">
        <v>311</v>
      </c>
      <c r="G181" s="2" t="s">
        <v>285</v>
      </c>
      <c r="H181" s="2" t="s">
        <v>496</v>
      </c>
      <c r="I181" s="2" t="s">
        <v>311</v>
      </c>
      <c r="J181" s="2" t="s">
        <v>311</v>
      </c>
      <c r="K181" s="2" t="s">
        <v>311</v>
      </c>
      <c r="L181" s="2" t="s">
        <v>311</v>
      </c>
      <c r="M181" s="2" t="s">
        <v>311</v>
      </c>
      <c r="N181" s="2" t="s">
        <v>311</v>
      </c>
      <c r="O181" s="37">
        <f t="shared" ref="O181" si="12">COUNTIF(P181,"VRAI")</f>
        <v>0</v>
      </c>
      <c r="P181" s="36" t="b">
        <v>0</v>
      </c>
      <c r="Q181" s="35"/>
      <c r="R181" s="38">
        <v>321</v>
      </c>
      <c r="S181" s="50"/>
      <c r="T181" s="59"/>
    </row>
    <row r="182" spans="1:20" x14ac:dyDescent="0.25">
      <c r="A182" s="21" t="s">
        <v>40</v>
      </c>
      <c r="B182" s="21" t="s">
        <v>434</v>
      </c>
      <c r="C182" s="65" t="s">
        <v>9</v>
      </c>
      <c r="D182" s="65"/>
      <c r="E182" s="65"/>
      <c r="F182" s="65" t="s">
        <v>10</v>
      </c>
      <c r="G182" s="65"/>
      <c r="H182" s="65"/>
      <c r="I182" s="65" t="s">
        <v>11</v>
      </c>
      <c r="J182" s="65"/>
      <c r="K182" s="65"/>
      <c r="L182" s="65" t="s">
        <v>12</v>
      </c>
      <c r="M182" s="65"/>
      <c r="N182" s="65"/>
      <c r="O182" s="31">
        <f>COUNTIF(P182,"VRAI")</f>
        <v>1</v>
      </c>
      <c r="P182" s="34" t="b">
        <v>1</v>
      </c>
      <c r="Q182" s="38"/>
      <c r="R182" s="38">
        <v>4</v>
      </c>
      <c r="S182" s="50"/>
      <c r="T182" s="59"/>
    </row>
    <row r="183" spans="1:20" x14ac:dyDescent="0.25">
      <c r="A183" s="26" t="s">
        <v>39</v>
      </c>
      <c r="B183" s="26" t="s">
        <v>433</v>
      </c>
      <c r="C183" s="40" t="s">
        <v>477</v>
      </c>
      <c r="D183" s="40" t="s">
        <v>333</v>
      </c>
      <c r="E183" s="40" t="s">
        <v>336</v>
      </c>
      <c r="F183" s="40" t="s">
        <v>477</v>
      </c>
      <c r="G183" s="40" t="s">
        <v>333</v>
      </c>
      <c r="H183" s="40" t="s">
        <v>336</v>
      </c>
      <c r="I183" s="40" t="s">
        <v>477</v>
      </c>
      <c r="J183" s="40" t="s">
        <v>333</v>
      </c>
      <c r="K183" s="40" t="s">
        <v>336</v>
      </c>
      <c r="L183" s="40" t="s">
        <v>477</v>
      </c>
      <c r="M183" s="40" t="s">
        <v>333</v>
      </c>
      <c r="N183" s="40" t="s">
        <v>478</v>
      </c>
      <c r="O183" s="37">
        <f t="shared" ref="O183:O185" si="13">COUNTIF(P183,"VRAI")</f>
        <v>1</v>
      </c>
      <c r="P183" s="36" t="b">
        <v>1</v>
      </c>
      <c r="Q183" s="35"/>
      <c r="R183" s="38">
        <v>41</v>
      </c>
      <c r="S183" s="50"/>
      <c r="T183" s="59"/>
    </row>
    <row r="184" spans="1:20" x14ac:dyDescent="0.25">
      <c r="A184" s="27" t="s">
        <v>361</v>
      </c>
      <c r="B184" s="5" t="s">
        <v>403</v>
      </c>
      <c r="C184" s="2" t="s">
        <v>311</v>
      </c>
      <c r="D184" s="2" t="s">
        <v>311</v>
      </c>
      <c r="E184" s="2" t="s">
        <v>311</v>
      </c>
      <c r="F184" s="2" t="s">
        <v>311</v>
      </c>
      <c r="G184" s="2" t="s">
        <v>285</v>
      </c>
      <c r="H184" s="2" t="s">
        <v>295</v>
      </c>
      <c r="I184" s="2" t="s">
        <v>311</v>
      </c>
      <c r="J184" s="2" t="s">
        <v>311</v>
      </c>
      <c r="K184" s="2" t="s">
        <v>311</v>
      </c>
      <c r="L184" s="2" t="s">
        <v>311</v>
      </c>
      <c r="M184" s="2" t="s">
        <v>311</v>
      </c>
      <c r="N184" s="2" t="s">
        <v>311</v>
      </c>
      <c r="O184" s="37">
        <f t="shared" si="13"/>
        <v>1</v>
      </c>
      <c r="P184" s="36" t="b">
        <v>1</v>
      </c>
      <c r="Q184" s="35"/>
      <c r="R184" s="38">
        <v>411</v>
      </c>
      <c r="S184" s="50"/>
      <c r="T184" s="59"/>
    </row>
    <row r="185" spans="1:20" x14ac:dyDescent="0.25">
      <c r="A185" s="27" t="s">
        <v>361</v>
      </c>
      <c r="B185" s="5" t="s">
        <v>402</v>
      </c>
      <c r="C185" s="2" t="s">
        <v>311</v>
      </c>
      <c r="D185" s="2" t="s">
        <v>285</v>
      </c>
      <c r="E185" s="2" t="s">
        <v>535</v>
      </c>
      <c r="F185" s="2" t="s">
        <v>311</v>
      </c>
      <c r="G185" s="2" t="s">
        <v>285</v>
      </c>
      <c r="H185" s="2" t="s">
        <v>497</v>
      </c>
      <c r="I185" s="2" t="s">
        <v>311</v>
      </c>
      <c r="J185" s="2" t="s">
        <v>311</v>
      </c>
      <c r="K185" s="2" t="s">
        <v>311</v>
      </c>
      <c r="L185" s="4" t="s">
        <v>311</v>
      </c>
      <c r="M185" s="2" t="s">
        <v>258</v>
      </c>
      <c r="N185" s="2" t="s">
        <v>311</v>
      </c>
      <c r="O185" s="31">
        <f t="shared" si="13"/>
        <v>0</v>
      </c>
      <c r="P185" s="34" t="b">
        <v>0</v>
      </c>
      <c r="Q185" s="38"/>
      <c r="R185" s="38">
        <v>412</v>
      </c>
      <c r="S185" s="50"/>
      <c r="T185" s="59"/>
    </row>
    <row r="186" spans="1:20" x14ac:dyDescent="0.25">
      <c r="A186" s="21" t="s">
        <v>40</v>
      </c>
      <c r="B186" s="21" t="s">
        <v>435</v>
      </c>
      <c r="C186" s="65" t="s">
        <v>9</v>
      </c>
      <c r="D186" s="65"/>
      <c r="E186" s="65"/>
      <c r="F186" s="65" t="s">
        <v>10</v>
      </c>
      <c r="G186" s="65"/>
      <c r="H186" s="65"/>
      <c r="I186" s="65" t="s">
        <v>11</v>
      </c>
      <c r="J186" s="65"/>
      <c r="K186" s="65"/>
      <c r="L186" s="65" t="s">
        <v>12</v>
      </c>
      <c r="M186" s="65"/>
      <c r="N186" s="65"/>
      <c r="O186" s="31">
        <f>COUNTIF(P186,"VRAI")</f>
        <v>0</v>
      </c>
      <c r="P186" s="34" t="b">
        <v>0</v>
      </c>
      <c r="Q186" s="38"/>
      <c r="R186" s="38">
        <v>5</v>
      </c>
      <c r="S186" s="50"/>
      <c r="T186" s="59"/>
    </row>
    <row r="187" spans="1:20" x14ac:dyDescent="0.25">
      <c r="A187" s="26" t="s">
        <v>39</v>
      </c>
      <c r="B187" s="26" t="s">
        <v>436</v>
      </c>
      <c r="C187" s="40" t="s">
        <v>477</v>
      </c>
      <c r="D187" s="40" t="s">
        <v>333</v>
      </c>
      <c r="E187" s="40" t="s">
        <v>336</v>
      </c>
      <c r="F187" s="40" t="s">
        <v>477</v>
      </c>
      <c r="G187" s="40" t="s">
        <v>333</v>
      </c>
      <c r="H187" s="40" t="s">
        <v>336</v>
      </c>
      <c r="I187" s="40" t="s">
        <v>477</v>
      </c>
      <c r="J187" s="40" t="s">
        <v>333</v>
      </c>
      <c r="K187" s="40" t="s">
        <v>336</v>
      </c>
      <c r="L187" s="40" t="s">
        <v>477</v>
      </c>
      <c r="M187" s="40" t="s">
        <v>333</v>
      </c>
      <c r="N187" s="40" t="s">
        <v>478</v>
      </c>
      <c r="O187" s="31">
        <f t="shared" ref="O187:O197" si="14">COUNTIF(P187,"VRAI")</f>
        <v>0</v>
      </c>
      <c r="P187" s="34" t="b">
        <v>0</v>
      </c>
      <c r="Q187" s="38"/>
      <c r="R187" s="38">
        <v>51</v>
      </c>
      <c r="S187" s="50"/>
      <c r="T187" s="59"/>
    </row>
    <row r="188" spans="1:20" x14ac:dyDescent="0.25">
      <c r="A188" s="27" t="s">
        <v>361</v>
      </c>
      <c r="B188" s="5" t="s">
        <v>427</v>
      </c>
      <c r="C188" s="2" t="s">
        <v>311</v>
      </c>
      <c r="D188" s="2" t="s">
        <v>311</v>
      </c>
      <c r="E188" s="2" t="s">
        <v>311</v>
      </c>
      <c r="F188" s="1" t="s">
        <v>537</v>
      </c>
      <c r="G188" s="2" t="s">
        <v>479</v>
      </c>
      <c r="H188" s="2" t="s">
        <v>278</v>
      </c>
      <c r="I188" s="2" t="s">
        <v>311</v>
      </c>
      <c r="J188" s="2" t="s">
        <v>311</v>
      </c>
      <c r="K188" s="2" t="s">
        <v>311</v>
      </c>
      <c r="L188" s="1"/>
      <c r="M188" s="2" t="s">
        <v>258</v>
      </c>
      <c r="N188" s="2"/>
      <c r="O188" s="37">
        <f t="shared" si="14"/>
        <v>0</v>
      </c>
      <c r="P188" s="36" t="b">
        <v>0</v>
      </c>
      <c r="Q188" s="35"/>
      <c r="R188" s="38">
        <v>511</v>
      </c>
      <c r="S188" s="50"/>
      <c r="T188" s="59"/>
    </row>
    <row r="189" spans="1:20" x14ac:dyDescent="0.25">
      <c r="A189" s="27" t="s">
        <v>429</v>
      </c>
      <c r="B189" s="5" t="s">
        <v>404</v>
      </c>
      <c r="C189" s="4" t="s">
        <v>523</v>
      </c>
      <c r="D189" s="2" t="s">
        <v>258</v>
      </c>
      <c r="E189" s="2" t="s">
        <v>278</v>
      </c>
      <c r="F189" s="2" t="s">
        <v>311</v>
      </c>
      <c r="G189" s="2" t="s">
        <v>285</v>
      </c>
      <c r="H189" s="2" t="s">
        <v>498</v>
      </c>
      <c r="I189" s="2" t="s">
        <v>311</v>
      </c>
      <c r="J189" s="2" t="s">
        <v>311</v>
      </c>
      <c r="K189" s="2" t="s">
        <v>311</v>
      </c>
      <c r="L189" s="2" t="s">
        <v>311</v>
      </c>
      <c r="M189" s="2" t="s">
        <v>311</v>
      </c>
      <c r="N189" s="2" t="s">
        <v>311</v>
      </c>
      <c r="O189" s="37">
        <f t="shared" si="14"/>
        <v>0</v>
      </c>
      <c r="P189" s="36" t="b">
        <v>0</v>
      </c>
      <c r="Q189" s="35"/>
      <c r="R189" s="38">
        <v>5111</v>
      </c>
      <c r="S189" s="50"/>
      <c r="T189" s="59"/>
    </row>
    <row r="190" spans="1:20" x14ac:dyDescent="0.25">
      <c r="A190" s="27" t="s">
        <v>429</v>
      </c>
      <c r="B190" s="5" t="s">
        <v>405</v>
      </c>
      <c r="C190" s="2" t="s">
        <v>311</v>
      </c>
      <c r="D190" s="2" t="s">
        <v>311</v>
      </c>
      <c r="E190" s="2" t="s">
        <v>311</v>
      </c>
      <c r="F190" s="1" t="s">
        <v>538</v>
      </c>
      <c r="G190" s="2" t="s">
        <v>479</v>
      </c>
      <c r="H190" s="2" t="s">
        <v>499</v>
      </c>
      <c r="I190" s="2" t="s">
        <v>311</v>
      </c>
      <c r="J190" s="2" t="s">
        <v>311</v>
      </c>
      <c r="K190" s="2" t="s">
        <v>311</v>
      </c>
      <c r="L190" s="2" t="s">
        <v>311</v>
      </c>
      <c r="M190" s="2" t="s">
        <v>311</v>
      </c>
      <c r="N190" s="2" t="s">
        <v>311</v>
      </c>
      <c r="O190" s="37">
        <f t="shared" si="14"/>
        <v>0</v>
      </c>
      <c r="P190" s="36" t="b">
        <v>0</v>
      </c>
      <c r="Q190" s="35"/>
      <c r="R190" s="38">
        <v>5112</v>
      </c>
      <c r="S190" s="50"/>
      <c r="T190" s="59"/>
    </row>
    <row r="191" spans="1:20" x14ac:dyDescent="0.25">
      <c r="A191" s="27" t="s">
        <v>429</v>
      </c>
      <c r="B191" s="5" t="s">
        <v>406</v>
      </c>
      <c r="C191" s="4" t="s">
        <v>524</v>
      </c>
      <c r="D191" s="2" t="s">
        <v>258</v>
      </c>
      <c r="E191" s="2" t="s">
        <v>277</v>
      </c>
      <c r="F191" s="1" t="s">
        <v>539</v>
      </c>
      <c r="G191" s="2" t="s">
        <v>479</v>
      </c>
      <c r="H191" s="2" t="s">
        <v>499</v>
      </c>
      <c r="I191" s="2" t="s">
        <v>311</v>
      </c>
      <c r="J191" s="2" t="s">
        <v>311</v>
      </c>
      <c r="K191" s="2" t="s">
        <v>311</v>
      </c>
      <c r="L191" s="2" t="s">
        <v>311</v>
      </c>
      <c r="M191" s="2" t="s">
        <v>311</v>
      </c>
      <c r="N191" s="2" t="s">
        <v>311</v>
      </c>
      <c r="O191" s="37">
        <f t="shared" si="14"/>
        <v>0</v>
      </c>
      <c r="P191" s="36" t="b">
        <v>0</v>
      </c>
      <c r="Q191" s="35"/>
      <c r="R191" s="38">
        <v>5113</v>
      </c>
      <c r="S191" s="50"/>
      <c r="T191" s="59"/>
    </row>
    <row r="192" spans="1:20" x14ac:dyDescent="0.25">
      <c r="A192" s="27" t="s">
        <v>429</v>
      </c>
      <c r="B192" s="5" t="s">
        <v>407</v>
      </c>
      <c r="C192" s="4" t="s">
        <v>523</v>
      </c>
      <c r="D192" s="2" t="s">
        <v>258</v>
      </c>
      <c r="E192" s="2" t="s">
        <v>277</v>
      </c>
      <c r="F192" s="1" t="s">
        <v>501</v>
      </c>
      <c r="G192" s="2" t="s">
        <v>479</v>
      </c>
      <c r="H192" s="2" t="s">
        <v>499</v>
      </c>
      <c r="I192" s="2" t="s">
        <v>311</v>
      </c>
      <c r="J192" s="2" t="s">
        <v>311</v>
      </c>
      <c r="K192" s="2" t="s">
        <v>311</v>
      </c>
      <c r="L192" s="2" t="s">
        <v>311</v>
      </c>
      <c r="M192" s="2" t="s">
        <v>311</v>
      </c>
      <c r="N192" s="2" t="s">
        <v>311</v>
      </c>
      <c r="O192" s="37">
        <f t="shared" si="14"/>
        <v>0</v>
      </c>
      <c r="P192" s="36" t="b">
        <v>0</v>
      </c>
      <c r="Q192" s="35"/>
      <c r="R192" s="38">
        <v>5114</v>
      </c>
      <c r="S192" s="50"/>
      <c r="T192" s="59"/>
    </row>
    <row r="193" spans="1:20" x14ac:dyDescent="0.25">
      <c r="A193" s="27" t="s">
        <v>430</v>
      </c>
      <c r="B193" s="5" t="s">
        <v>408</v>
      </c>
      <c r="C193" s="4" t="s">
        <v>523</v>
      </c>
      <c r="D193" s="2" t="s">
        <v>258</v>
      </c>
      <c r="E193" s="2" t="s">
        <v>277</v>
      </c>
      <c r="F193" s="1" t="s">
        <v>502</v>
      </c>
      <c r="G193" s="2" t="s">
        <v>479</v>
      </c>
      <c r="H193" s="2" t="s">
        <v>499</v>
      </c>
      <c r="I193" s="2" t="s">
        <v>311</v>
      </c>
      <c r="J193" s="2" t="s">
        <v>311</v>
      </c>
      <c r="K193" s="2" t="s">
        <v>311</v>
      </c>
      <c r="L193" s="2" t="s">
        <v>311</v>
      </c>
      <c r="M193" s="2" t="s">
        <v>311</v>
      </c>
      <c r="N193" s="2" t="s">
        <v>311</v>
      </c>
      <c r="O193" s="37">
        <f t="shared" si="14"/>
        <v>0</v>
      </c>
      <c r="P193" s="36" t="b">
        <v>0</v>
      </c>
      <c r="Q193" s="35"/>
      <c r="R193" s="38">
        <v>51141</v>
      </c>
      <c r="S193" s="50"/>
      <c r="T193" s="59"/>
    </row>
    <row r="194" spans="1:20" x14ac:dyDescent="0.25">
      <c r="A194" s="27" t="s">
        <v>429</v>
      </c>
      <c r="B194" s="5" t="s">
        <v>357</v>
      </c>
      <c r="C194" s="2" t="s">
        <v>311</v>
      </c>
      <c r="D194" s="2" t="s">
        <v>311</v>
      </c>
      <c r="E194" s="2" t="s">
        <v>311</v>
      </c>
      <c r="F194" s="1" t="s">
        <v>540</v>
      </c>
      <c r="G194" s="2" t="s">
        <v>479</v>
      </c>
      <c r="H194" s="2" t="s">
        <v>499</v>
      </c>
      <c r="I194" s="2" t="s">
        <v>311</v>
      </c>
      <c r="J194" s="2" t="s">
        <v>311</v>
      </c>
      <c r="K194" s="2" t="s">
        <v>311</v>
      </c>
      <c r="L194" s="2" t="s">
        <v>311</v>
      </c>
      <c r="M194" s="2" t="s">
        <v>311</v>
      </c>
      <c r="N194" s="2" t="s">
        <v>311</v>
      </c>
      <c r="O194" s="37">
        <f t="shared" si="14"/>
        <v>0</v>
      </c>
      <c r="P194" s="36" t="b">
        <v>0</v>
      </c>
      <c r="Q194" s="35"/>
      <c r="R194" s="38">
        <v>5115</v>
      </c>
      <c r="S194" s="50"/>
      <c r="T194" s="59"/>
    </row>
    <row r="195" spans="1:20" x14ac:dyDescent="0.25">
      <c r="A195" s="27" t="s">
        <v>430</v>
      </c>
      <c r="B195" s="5" t="s">
        <v>409</v>
      </c>
      <c r="C195" s="4" t="s">
        <v>523</v>
      </c>
      <c r="D195" s="2" t="s">
        <v>258</v>
      </c>
      <c r="E195" s="2" t="s">
        <v>277</v>
      </c>
      <c r="F195" s="1" t="s">
        <v>503</v>
      </c>
      <c r="G195" s="2" t="s">
        <v>479</v>
      </c>
      <c r="H195" s="2" t="s">
        <v>499</v>
      </c>
      <c r="I195" s="2" t="s">
        <v>311</v>
      </c>
      <c r="J195" s="2" t="s">
        <v>311</v>
      </c>
      <c r="K195" s="2" t="s">
        <v>311</v>
      </c>
      <c r="L195" s="2" t="s">
        <v>311</v>
      </c>
      <c r="M195" s="2" t="s">
        <v>311</v>
      </c>
      <c r="N195" s="2" t="s">
        <v>311</v>
      </c>
      <c r="O195" s="37">
        <f t="shared" si="14"/>
        <v>0</v>
      </c>
      <c r="P195" s="36" t="b">
        <v>0</v>
      </c>
      <c r="Q195" s="35"/>
      <c r="R195" s="38">
        <v>51151</v>
      </c>
      <c r="S195" s="50"/>
      <c r="T195" s="59"/>
    </row>
    <row r="196" spans="1:20" x14ac:dyDescent="0.25">
      <c r="A196" s="27" t="s">
        <v>430</v>
      </c>
      <c r="B196" s="5" t="s">
        <v>410</v>
      </c>
      <c r="C196" s="4" t="s">
        <v>525</v>
      </c>
      <c r="D196" s="2" t="s">
        <v>258</v>
      </c>
      <c r="E196" s="2" t="s">
        <v>277</v>
      </c>
      <c r="F196" s="1" t="s">
        <v>503</v>
      </c>
      <c r="G196" s="2" t="s">
        <v>479</v>
      </c>
      <c r="H196" s="2" t="s">
        <v>499</v>
      </c>
      <c r="I196" s="2" t="s">
        <v>311</v>
      </c>
      <c r="J196" s="2" t="s">
        <v>311</v>
      </c>
      <c r="K196" s="2" t="s">
        <v>311</v>
      </c>
      <c r="L196" s="2" t="s">
        <v>311</v>
      </c>
      <c r="M196" s="2" t="s">
        <v>311</v>
      </c>
      <c r="N196" s="2" t="s">
        <v>311</v>
      </c>
      <c r="O196" s="37">
        <f t="shared" si="14"/>
        <v>0</v>
      </c>
      <c r="P196" s="36" t="b">
        <v>0</v>
      </c>
      <c r="Q196" s="35"/>
      <c r="R196" s="38">
        <v>51152</v>
      </c>
      <c r="S196" s="50"/>
      <c r="T196" s="59"/>
    </row>
    <row r="197" spans="1:20" x14ac:dyDescent="0.25">
      <c r="A197" s="26" t="s">
        <v>39</v>
      </c>
      <c r="B197" s="26" t="s">
        <v>448</v>
      </c>
      <c r="C197" s="40" t="s">
        <v>477</v>
      </c>
      <c r="D197" s="40" t="s">
        <v>333</v>
      </c>
      <c r="E197" s="40" t="s">
        <v>336</v>
      </c>
      <c r="F197" s="40" t="s">
        <v>477</v>
      </c>
      <c r="G197" s="40" t="s">
        <v>333</v>
      </c>
      <c r="H197" s="40" t="s">
        <v>336</v>
      </c>
      <c r="I197" s="40" t="s">
        <v>477</v>
      </c>
      <c r="J197" s="40" t="s">
        <v>333</v>
      </c>
      <c r="K197" s="40" t="s">
        <v>336</v>
      </c>
      <c r="L197" s="40" t="s">
        <v>477</v>
      </c>
      <c r="M197" s="40" t="s">
        <v>333</v>
      </c>
      <c r="N197" s="40" t="s">
        <v>478</v>
      </c>
      <c r="O197" s="31">
        <f t="shared" si="14"/>
        <v>0</v>
      </c>
      <c r="P197" s="34" t="b">
        <v>0</v>
      </c>
      <c r="Q197" s="38"/>
      <c r="R197" s="38">
        <v>52</v>
      </c>
      <c r="S197" s="50"/>
      <c r="T197" s="59"/>
    </row>
    <row r="198" spans="1:20" x14ac:dyDescent="0.25">
      <c r="A198" s="27" t="s">
        <v>361</v>
      </c>
      <c r="B198" s="5" t="s">
        <v>463</v>
      </c>
      <c r="C198" s="2" t="s">
        <v>311</v>
      </c>
      <c r="D198" s="2" t="s">
        <v>311</v>
      </c>
      <c r="E198" s="2" t="s">
        <v>311</v>
      </c>
      <c r="F198" s="1" t="s">
        <v>296</v>
      </c>
      <c r="G198" s="2" t="s">
        <v>479</v>
      </c>
      <c r="H198" s="2" t="s">
        <v>278</v>
      </c>
      <c r="I198" s="2" t="s">
        <v>311</v>
      </c>
      <c r="J198" s="2" t="s">
        <v>311</v>
      </c>
      <c r="K198" s="2" t="s">
        <v>311</v>
      </c>
      <c r="L198" s="2" t="s">
        <v>526</v>
      </c>
      <c r="M198" s="2" t="s">
        <v>258</v>
      </c>
      <c r="N198" s="2"/>
      <c r="O198" s="37">
        <f t="shared" ref="O198:O199" si="15">COUNTIF(P198,"VRAI")</f>
        <v>0</v>
      </c>
      <c r="P198" s="36" t="b">
        <v>0</v>
      </c>
      <c r="Q198" s="35"/>
      <c r="R198" s="38">
        <v>521</v>
      </c>
      <c r="S198" s="50"/>
      <c r="T198" s="59"/>
    </row>
    <row r="199" spans="1:20" x14ac:dyDescent="0.25">
      <c r="A199" s="27" t="s">
        <v>429</v>
      </c>
      <c r="B199" s="5" t="s">
        <v>357</v>
      </c>
      <c r="C199" s="4" t="s">
        <v>527</v>
      </c>
      <c r="D199" s="2" t="s">
        <v>258</v>
      </c>
      <c r="E199" s="2" t="s">
        <v>278</v>
      </c>
      <c r="F199" s="1" t="s">
        <v>500</v>
      </c>
      <c r="G199" s="2" t="s">
        <v>479</v>
      </c>
      <c r="H199" s="2" t="s">
        <v>278</v>
      </c>
      <c r="I199" s="2" t="s">
        <v>311</v>
      </c>
      <c r="J199" s="2" t="s">
        <v>311</v>
      </c>
      <c r="K199" s="2" t="s">
        <v>311</v>
      </c>
      <c r="L199" s="2" t="s">
        <v>311</v>
      </c>
      <c r="M199" s="2" t="s">
        <v>311</v>
      </c>
      <c r="N199" s="2" t="s">
        <v>311</v>
      </c>
      <c r="O199" s="37">
        <f t="shared" si="15"/>
        <v>0</v>
      </c>
      <c r="P199" s="36" t="b">
        <v>0</v>
      </c>
      <c r="Q199" s="35"/>
      <c r="R199" s="38">
        <v>5211</v>
      </c>
      <c r="S199" s="50"/>
      <c r="T199" s="59"/>
    </row>
    <row r="200" spans="1:20" x14ac:dyDescent="0.25">
      <c r="A200" s="26" t="s">
        <v>39</v>
      </c>
      <c r="B200" s="26" t="s">
        <v>428</v>
      </c>
      <c r="C200" s="40" t="s">
        <v>477</v>
      </c>
      <c r="D200" s="40" t="s">
        <v>333</v>
      </c>
      <c r="E200" s="40" t="s">
        <v>336</v>
      </c>
      <c r="F200" s="40" t="s">
        <v>477</v>
      </c>
      <c r="G200" s="40" t="s">
        <v>333</v>
      </c>
      <c r="H200" s="40" t="s">
        <v>336</v>
      </c>
      <c r="I200" s="40" t="s">
        <v>477</v>
      </c>
      <c r="J200" s="40" t="s">
        <v>333</v>
      </c>
      <c r="K200" s="40" t="s">
        <v>336</v>
      </c>
      <c r="L200" s="40" t="s">
        <v>477</v>
      </c>
      <c r="M200" s="40" t="s">
        <v>333</v>
      </c>
      <c r="N200" s="40" t="s">
        <v>478</v>
      </c>
      <c r="O200" s="32">
        <f>COUNTIF(P200,"VRAI")</f>
        <v>0</v>
      </c>
      <c r="P200" s="36" t="b">
        <v>0</v>
      </c>
      <c r="Q200" s="35"/>
      <c r="R200" s="38">
        <v>53</v>
      </c>
      <c r="S200" s="50"/>
      <c r="T200" s="59"/>
    </row>
    <row r="201" spans="1:20" x14ac:dyDescent="0.25">
      <c r="A201" s="27" t="s">
        <v>361</v>
      </c>
      <c r="B201" s="5" t="s">
        <v>428</v>
      </c>
      <c r="C201" s="1" t="s">
        <v>524</v>
      </c>
      <c r="D201" s="2" t="s">
        <v>258</v>
      </c>
      <c r="E201" s="2" t="s">
        <v>280</v>
      </c>
      <c r="F201" s="1" t="s">
        <v>536</v>
      </c>
      <c r="G201" s="2" t="s">
        <v>258</v>
      </c>
      <c r="H201" s="2" t="s">
        <v>278</v>
      </c>
      <c r="I201" s="2" t="s">
        <v>311</v>
      </c>
      <c r="J201" s="2" t="s">
        <v>311</v>
      </c>
      <c r="K201" s="2" t="s">
        <v>311</v>
      </c>
      <c r="L201" s="2" t="s">
        <v>311</v>
      </c>
      <c r="M201" s="2" t="s">
        <v>311</v>
      </c>
      <c r="N201" s="2" t="s">
        <v>311</v>
      </c>
      <c r="O201" s="32">
        <f>COUNTIF(P201,"VRAI")</f>
        <v>0</v>
      </c>
      <c r="P201" s="36" t="b">
        <v>0</v>
      </c>
      <c r="Q201" s="35"/>
      <c r="R201" s="38">
        <v>531</v>
      </c>
      <c r="S201" s="51"/>
      <c r="T201" s="60"/>
    </row>
    <row r="203" spans="1:20" ht="19.5" hidden="1" customHeight="1" x14ac:dyDescent="0.25">
      <c r="E203" s="5" t="s">
        <v>349</v>
      </c>
      <c r="F203" s="33">
        <f>SUM(O34)</f>
        <v>1</v>
      </c>
      <c r="G203" s="5" t="s">
        <v>350</v>
      </c>
      <c r="H203" s="33">
        <f>SUM(O40,O46,O52,O58,O64,O70,O76)</f>
        <v>7</v>
      </c>
      <c r="I203" s="33" t="s">
        <v>346</v>
      </c>
      <c r="J203" s="33">
        <f>SUM(O83,O91,O174,O182,O186)</f>
        <v>4</v>
      </c>
      <c r="K203" s="5" t="s">
        <v>347</v>
      </c>
      <c r="L203" s="33">
        <f>SUM(O84,O92,O143,O154,O161,O165,O170,O172,O175,O180,O183,O187,O197,O200)</f>
        <v>6</v>
      </c>
      <c r="M203" s="5" t="s">
        <v>348</v>
      </c>
      <c r="N203" s="29">
        <f>SUM(O85:O90,O93:O142,O144:O153,O155:O160,O162:O164,O166:O169,O171,O173,O176:O179,O181,O184:O185,O188:O196,O198:O199,O201)</f>
        <v>74</v>
      </c>
      <c r="O203" s="5"/>
    </row>
    <row r="205" spans="1:20" ht="18.75" x14ac:dyDescent="0.3">
      <c r="E205" s="57" t="str">
        <f>IF(OR($J$203=0,$L$203=0,$N$203= 0),"Veuillez renseigner des volets/blocs/garanties","")</f>
        <v/>
      </c>
      <c r="F205" s="57"/>
      <c r="G205" s="57"/>
      <c r="H205" s="57"/>
      <c r="I205" s="57"/>
    </row>
    <row r="206" spans="1:20" ht="18.75" x14ac:dyDescent="0.3">
      <c r="E206" s="57" t="str">
        <f>IF(OR($F$203=0,$H$203=0),"Veuillez renseigner des Risques/Objets","")</f>
        <v/>
      </c>
      <c r="F206" s="57"/>
      <c r="G206" s="57"/>
      <c r="H206" s="57"/>
      <c r="I206" s="57"/>
    </row>
  </sheetData>
  <mergeCells count="41">
    <mergeCell ref="F22:K22"/>
    <mergeCell ref="L174:N174"/>
    <mergeCell ref="L182:N182"/>
    <mergeCell ref="C186:E186"/>
    <mergeCell ref="F186:H186"/>
    <mergeCell ref="I186:K186"/>
    <mergeCell ref="L186:N186"/>
    <mergeCell ref="C182:E182"/>
    <mergeCell ref="F182:H182"/>
    <mergeCell ref="I182:K182"/>
    <mergeCell ref="L83:N83"/>
    <mergeCell ref="C91:E91"/>
    <mergeCell ref="F91:H91"/>
    <mergeCell ref="I91:K91"/>
    <mergeCell ref="L91:N91"/>
    <mergeCell ref="C82:E82"/>
    <mergeCell ref="F82:H82"/>
    <mergeCell ref="E205:I205"/>
    <mergeCell ref="E206:I206"/>
    <mergeCell ref="C83:E83"/>
    <mergeCell ref="F83:H83"/>
    <mergeCell ref="I83:K83"/>
    <mergeCell ref="C174:E174"/>
    <mergeCell ref="F174:H174"/>
    <mergeCell ref="I174:K174"/>
    <mergeCell ref="B1:I1"/>
    <mergeCell ref="S46:S51"/>
    <mergeCell ref="S30:T31"/>
    <mergeCell ref="S52:S57"/>
    <mergeCell ref="S58:S63"/>
    <mergeCell ref="S40:S45"/>
    <mergeCell ref="O25:O33"/>
    <mergeCell ref="F8:J8"/>
    <mergeCell ref="F9:J9"/>
    <mergeCell ref="T34:T201"/>
    <mergeCell ref="S82:S201"/>
    <mergeCell ref="S64:S69"/>
    <mergeCell ref="S70:S75"/>
    <mergeCell ref="I82:K82"/>
    <mergeCell ref="L82:N82"/>
    <mergeCell ref="S76:S81"/>
  </mergeCells>
  <dataValidations count="8">
    <dataValidation type="list" allowBlank="1" showInputMessage="1" showErrorMessage="1" sqref="C7">
      <formula1>INDIRECT(B7)</formula1>
    </dataValidation>
    <dataValidation type="date" operator="greaterThanOrEqual" allowBlank="1" showInputMessage="1" showErrorMessage="1" sqref="D11 D37 D43 D49 D55 D61 D67 D73 D79">
      <formula1>B11</formula1>
    </dataValidation>
    <dataValidation type="date" operator="lessThanOrEqual" allowBlank="1" showInputMessage="1" showErrorMessage="1" sqref="B79 B37 B43 B49 B55 B61 B67 B73">
      <formula1>D37</formula1>
    </dataValidation>
    <dataValidation type="date" operator="lessThanOrEqual" allowBlank="1" showInputMessage="1" showErrorMessage="1" sqref="B10">
      <formula1>B11</formula1>
    </dataValidation>
    <dataValidation type="whole" allowBlank="1" showInputMessage="1" showErrorMessage="1" sqref="G24">
      <formula1>0</formula1>
      <formula2>99999</formula2>
    </dataValidation>
    <dataValidation type="whole" operator="greaterThanOrEqual" allowBlank="1" showInputMessage="1" showErrorMessage="1" sqref="F96:F97">
      <formula1>0</formula1>
    </dataValidation>
    <dataValidation type="date" operator="greaterThanOrEqual" allowBlank="1" showInputMessage="1" showErrorMessage="1" errorTitle="Date erronée" error="La date d'effet doit être supérieure au 1er janvier 2017" sqref="B11">
      <formula1>P6</formula1>
    </dataValidation>
    <dataValidation type="list" showInputMessage="1" showErrorMessage="1" sqref="I23">
      <formula1>",Bis,Ter"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6" r:id="rId4" name="MaCB">
              <controlPr defaultSize="0" autoFill="0" autoLine="0" autoPict="0" macro="[0]!MaCB_Cliquer">
                <anchor moveWithCells="1">
                  <from>
                    <xdr:col>16</xdr:col>
                    <xdr:colOff>85725</xdr:colOff>
                    <xdr:row>32</xdr:row>
                    <xdr:rowOff>180975</xdr:rowOff>
                  </from>
                  <to>
                    <xdr:col>16</xdr:col>
                    <xdr:colOff>323850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5" name="Obj1CB">
              <controlPr defaultSize="0" autoFill="0" autoLine="0" autoPict="0">
                <anchor moveWithCells="1">
                  <from>
                    <xdr:col>16</xdr:col>
                    <xdr:colOff>95250</xdr:colOff>
                    <xdr:row>39</xdr:row>
                    <xdr:rowOff>19050</xdr:rowOff>
                  </from>
                  <to>
                    <xdr:col>16</xdr:col>
                    <xdr:colOff>285750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6" name="Obj2CB">
              <controlPr defaultSize="0" autoFill="0" autoLine="0" autoPict="0">
                <anchor moveWithCells="1">
                  <from>
                    <xdr:col>16</xdr:col>
                    <xdr:colOff>104775</xdr:colOff>
                    <xdr:row>45</xdr:row>
                    <xdr:rowOff>19050</xdr:rowOff>
                  </from>
                  <to>
                    <xdr:col>16</xdr:col>
                    <xdr:colOff>295275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7" name="Obj3CB">
              <controlPr defaultSize="0" autoFill="0" autoLine="0" autoPict="0">
                <anchor moveWithCells="1">
                  <from>
                    <xdr:col>16</xdr:col>
                    <xdr:colOff>95250</xdr:colOff>
                    <xdr:row>51</xdr:row>
                    <xdr:rowOff>19050</xdr:rowOff>
                  </from>
                  <to>
                    <xdr:col>16</xdr:col>
                    <xdr:colOff>285750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8" name="Obj4CB">
              <controlPr defaultSize="0" autoFill="0" autoLine="0" autoPict="0">
                <anchor moveWithCells="1">
                  <from>
                    <xdr:col>16</xdr:col>
                    <xdr:colOff>95250</xdr:colOff>
                    <xdr:row>57</xdr:row>
                    <xdr:rowOff>19050</xdr:rowOff>
                  </from>
                  <to>
                    <xdr:col>16</xdr:col>
                    <xdr:colOff>285750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9" name="Obj5CB">
              <controlPr defaultSize="0" autoFill="0" autoLine="0" autoPict="0">
                <anchor moveWithCells="1">
                  <from>
                    <xdr:col>16</xdr:col>
                    <xdr:colOff>104775</xdr:colOff>
                    <xdr:row>63</xdr:row>
                    <xdr:rowOff>9525</xdr:rowOff>
                  </from>
                  <to>
                    <xdr:col>16</xdr:col>
                    <xdr:colOff>295275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10" name="Obj6CB">
              <controlPr defaultSize="0" autoFill="0" autoLine="0" autoPict="0">
                <anchor moveWithCells="1">
                  <from>
                    <xdr:col>16</xdr:col>
                    <xdr:colOff>95250</xdr:colOff>
                    <xdr:row>69</xdr:row>
                    <xdr:rowOff>9525</xdr:rowOff>
                  </from>
                  <to>
                    <xdr:col>16</xdr:col>
                    <xdr:colOff>285750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11" name="Obj7CB">
              <controlPr defaultSize="0" autoFill="0" autoLine="0" autoPict="0">
                <anchor moveWithCells="1">
                  <from>
                    <xdr:col>16</xdr:col>
                    <xdr:colOff>85725</xdr:colOff>
                    <xdr:row>75</xdr:row>
                    <xdr:rowOff>9525</xdr:rowOff>
                  </from>
                  <to>
                    <xdr:col>16</xdr:col>
                    <xdr:colOff>276225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12" name="Vol1CB">
              <controlPr defaultSize="0" autoFill="0" autoLine="0" autoPict="0" macro="[0]!Vol1CB_Cliquer">
                <anchor moveWithCells="1">
                  <from>
                    <xdr:col>16</xdr:col>
                    <xdr:colOff>85725</xdr:colOff>
                    <xdr:row>82</xdr:row>
                    <xdr:rowOff>9525</xdr:rowOff>
                  </from>
                  <to>
                    <xdr:col>16</xdr:col>
                    <xdr:colOff>276225</xdr:colOff>
                    <xdr:row>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13" name="Vol2CB">
              <controlPr defaultSize="0" autoFill="0" autoLine="0" autoPict="0" macro="[0]!Vol2CB_Cliquer">
                <anchor moveWithCells="1">
                  <from>
                    <xdr:col>16</xdr:col>
                    <xdr:colOff>85725</xdr:colOff>
                    <xdr:row>90</xdr:row>
                    <xdr:rowOff>9525</xdr:rowOff>
                  </from>
                  <to>
                    <xdr:col>16</xdr:col>
                    <xdr:colOff>276225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14" name="Vol3CB">
              <controlPr defaultSize="0" autoFill="0" autoLine="0" autoPict="0" macro="[0]!Vol3CB_Cliquer">
                <anchor moveWithCells="1">
                  <from>
                    <xdr:col>16</xdr:col>
                    <xdr:colOff>95250</xdr:colOff>
                    <xdr:row>173</xdr:row>
                    <xdr:rowOff>19050</xdr:rowOff>
                  </from>
                  <to>
                    <xdr:col>16</xdr:col>
                    <xdr:colOff>285750</xdr:colOff>
                    <xdr:row>174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15" name="Vol4CB">
              <controlPr defaultSize="0" autoFill="0" autoLine="0" autoPict="0" macro="[0]!Vol4CB_Cliquer">
                <anchor moveWithCells="1">
                  <from>
                    <xdr:col>16</xdr:col>
                    <xdr:colOff>85725</xdr:colOff>
                    <xdr:row>181</xdr:row>
                    <xdr:rowOff>9525</xdr:rowOff>
                  </from>
                  <to>
                    <xdr:col>16</xdr:col>
                    <xdr:colOff>276225</xdr:colOff>
                    <xdr:row>182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16" name="Vol5CB">
              <controlPr defaultSize="0" autoFill="0" autoLine="0" autoPict="0" macro="[0]!Vol5CB_Cliquer">
                <anchor moveWithCells="1">
                  <from>
                    <xdr:col>16</xdr:col>
                    <xdr:colOff>85725</xdr:colOff>
                    <xdr:row>185</xdr:row>
                    <xdr:rowOff>9525</xdr:rowOff>
                  </from>
                  <to>
                    <xdr:col>16</xdr:col>
                    <xdr:colOff>276225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17" name="Bloc11CB">
              <controlPr defaultSize="0" autoFill="0" autoLine="0" autoPict="0" macro="[0]!Bloc11CB_Cliquer">
                <anchor moveWithCells="1">
                  <from>
                    <xdr:col>16</xdr:col>
                    <xdr:colOff>85725</xdr:colOff>
                    <xdr:row>83</xdr:row>
                    <xdr:rowOff>0</xdr:rowOff>
                  </from>
                  <to>
                    <xdr:col>16</xdr:col>
                    <xdr:colOff>276225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18" name="Garantie111CB">
              <controlPr defaultSize="0" autoFill="0" autoLine="0" autoPict="0" macro="[0]!Garantie111CB_Cliquer">
                <anchor moveWithCells="1">
                  <from>
                    <xdr:col>16</xdr:col>
                    <xdr:colOff>85725</xdr:colOff>
                    <xdr:row>84</xdr:row>
                    <xdr:rowOff>9525</xdr:rowOff>
                  </from>
                  <to>
                    <xdr:col>16</xdr:col>
                    <xdr:colOff>276225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19" name="Garantie112CB">
              <controlPr defaultSize="0" autoFill="0" autoLine="0" autoPict="0" macro="[0]!Garantie112CB_Cliquer">
                <anchor moveWithCells="1">
                  <from>
                    <xdr:col>16</xdr:col>
                    <xdr:colOff>85725</xdr:colOff>
                    <xdr:row>85</xdr:row>
                    <xdr:rowOff>9525</xdr:rowOff>
                  </from>
                  <to>
                    <xdr:col>16</xdr:col>
                    <xdr:colOff>276225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20" name="Garantie113CB">
              <controlPr defaultSize="0" autoFill="0" autoLine="0" autoPict="0" macro="[0]!Garantie113CB_Cliquer">
                <anchor moveWithCells="1">
                  <from>
                    <xdr:col>16</xdr:col>
                    <xdr:colOff>85725</xdr:colOff>
                    <xdr:row>86</xdr:row>
                    <xdr:rowOff>9525</xdr:rowOff>
                  </from>
                  <to>
                    <xdr:col>16</xdr:col>
                    <xdr:colOff>276225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21" name="Garantie114CB">
              <controlPr defaultSize="0" autoFill="0" autoLine="0" autoPict="0" macro="[0]!Garantie114CB_Cliquer">
                <anchor moveWithCells="1">
                  <from>
                    <xdr:col>16</xdr:col>
                    <xdr:colOff>85725</xdr:colOff>
                    <xdr:row>87</xdr:row>
                    <xdr:rowOff>9525</xdr:rowOff>
                  </from>
                  <to>
                    <xdr:col>16</xdr:col>
                    <xdr:colOff>276225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22" name="Garantie115CB">
              <controlPr defaultSize="0" autoFill="0" autoLine="0" autoPict="0" macro="[0]!Garantie115CB_Cliquer">
                <anchor moveWithCells="1">
                  <from>
                    <xdr:col>16</xdr:col>
                    <xdr:colOff>85725</xdr:colOff>
                    <xdr:row>88</xdr:row>
                    <xdr:rowOff>19050</xdr:rowOff>
                  </from>
                  <to>
                    <xdr:col>16</xdr:col>
                    <xdr:colOff>276225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23" name="Garantie116CB">
              <controlPr defaultSize="0" autoFill="0" autoLine="0" autoPict="0" macro="[0]!Garantie116CB_Cliquer">
                <anchor moveWithCells="1">
                  <from>
                    <xdr:col>16</xdr:col>
                    <xdr:colOff>85725</xdr:colOff>
                    <xdr:row>89</xdr:row>
                    <xdr:rowOff>9525</xdr:rowOff>
                  </from>
                  <to>
                    <xdr:col>16</xdr:col>
                    <xdr:colOff>276225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24" name="Bloc21CB">
              <controlPr defaultSize="0" autoFill="0" autoLine="0" autoPict="0" macro="[0]!Bloc21CB_Cliquer">
                <anchor moveWithCells="1">
                  <from>
                    <xdr:col>16</xdr:col>
                    <xdr:colOff>95250</xdr:colOff>
                    <xdr:row>91</xdr:row>
                    <xdr:rowOff>9525</xdr:rowOff>
                  </from>
                  <to>
                    <xdr:col>16</xdr:col>
                    <xdr:colOff>285750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25" name="Garantie211CB">
              <controlPr defaultSize="0" autoFill="0" autoLine="0" autoPict="0" macro="[0]!Garantie211CB_Cliquer">
                <anchor moveWithCells="1">
                  <from>
                    <xdr:col>16</xdr:col>
                    <xdr:colOff>95250</xdr:colOff>
                    <xdr:row>92</xdr:row>
                    <xdr:rowOff>0</xdr:rowOff>
                  </from>
                  <to>
                    <xdr:col>16</xdr:col>
                    <xdr:colOff>285750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26" name="Garantie2111CB">
              <controlPr defaultSize="0" autoFill="0" autoLine="0" autoPict="0" macro="[0]!Garantie2111CB_Cliquer">
                <anchor moveWithCells="1">
                  <from>
                    <xdr:col>16</xdr:col>
                    <xdr:colOff>95250</xdr:colOff>
                    <xdr:row>93</xdr:row>
                    <xdr:rowOff>0</xdr:rowOff>
                  </from>
                  <to>
                    <xdr:col>16</xdr:col>
                    <xdr:colOff>285750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27" name="Garantie2112CB">
              <controlPr defaultSize="0" autoFill="0" autoLine="0" autoPict="0" macro="[0]!Garantie2112CB_Cliquer">
                <anchor moveWithCells="1">
                  <from>
                    <xdr:col>16</xdr:col>
                    <xdr:colOff>95250</xdr:colOff>
                    <xdr:row>94</xdr:row>
                    <xdr:rowOff>0</xdr:rowOff>
                  </from>
                  <to>
                    <xdr:col>16</xdr:col>
                    <xdr:colOff>285750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28" name="Garantie2116CB">
              <controlPr defaultSize="0" autoFill="0" autoLine="0" autoPict="0" macro="[0]!Garantie2116CB_Cliquer">
                <anchor moveWithCells="1">
                  <from>
                    <xdr:col>16</xdr:col>
                    <xdr:colOff>95250</xdr:colOff>
                    <xdr:row>98</xdr:row>
                    <xdr:rowOff>19050</xdr:rowOff>
                  </from>
                  <to>
                    <xdr:col>16</xdr:col>
                    <xdr:colOff>285750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29" name="Garantie2115CB">
              <controlPr defaultSize="0" autoFill="0" autoLine="0" autoPict="0" macro="[0]!Garantie2115CB_Cliquer">
                <anchor moveWithCells="1">
                  <from>
                    <xdr:col>16</xdr:col>
                    <xdr:colOff>95250</xdr:colOff>
                    <xdr:row>97</xdr:row>
                    <xdr:rowOff>28575</xdr:rowOff>
                  </from>
                  <to>
                    <xdr:col>16</xdr:col>
                    <xdr:colOff>285750</xdr:colOff>
                    <xdr:row>98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0" name="Garantie212CB">
              <controlPr defaultSize="0" autoFill="0" autoLine="0" autoPict="0" macro="[0]!Garantie212CB_Cliquer">
                <anchor moveWithCells="1">
                  <from>
                    <xdr:col>16</xdr:col>
                    <xdr:colOff>95250</xdr:colOff>
                    <xdr:row>99</xdr:row>
                    <xdr:rowOff>28575</xdr:rowOff>
                  </from>
                  <to>
                    <xdr:col>16</xdr:col>
                    <xdr:colOff>285750</xdr:colOff>
                    <xdr:row>100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1" name="Garantie213CB">
              <controlPr defaultSize="0" autoFill="0" autoLine="0" autoPict="0" macro="[0]!Garantie213CB_Cliquer">
                <anchor moveWithCells="1">
                  <from>
                    <xdr:col>16</xdr:col>
                    <xdr:colOff>95250</xdr:colOff>
                    <xdr:row>100</xdr:row>
                    <xdr:rowOff>19050</xdr:rowOff>
                  </from>
                  <to>
                    <xdr:col>16</xdr:col>
                    <xdr:colOff>285750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32" name="Garantie214CB">
              <controlPr defaultSize="0" autoFill="0" autoLine="0" autoPict="0" macro="[0]!Garantie214CB_Cliquer">
                <anchor moveWithCells="1">
                  <from>
                    <xdr:col>16</xdr:col>
                    <xdr:colOff>95250</xdr:colOff>
                    <xdr:row>101</xdr:row>
                    <xdr:rowOff>9525</xdr:rowOff>
                  </from>
                  <to>
                    <xdr:col>16</xdr:col>
                    <xdr:colOff>285750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33" name="Garantie215CB">
              <controlPr defaultSize="0" autoFill="0" autoLine="0" autoPict="0" macro="[0]!Garantie215CB_Cliquer">
                <anchor moveWithCells="1">
                  <from>
                    <xdr:col>16</xdr:col>
                    <xdr:colOff>95250</xdr:colOff>
                    <xdr:row>102</xdr:row>
                    <xdr:rowOff>0</xdr:rowOff>
                  </from>
                  <to>
                    <xdr:col>16</xdr:col>
                    <xdr:colOff>285750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34" name="Garantie216CB">
              <controlPr defaultSize="0" autoFill="0" autoLine="0" autoPict="0" macro="[0]!Garantie216CB_Cliquer">
                <anchor moveWithCells="1">
                  <from>
                    <xdr:col>16</xdr:col>
                    <xdr:colOff>95250</xdr:colOff>
                    <xdr:row>102</xdr:row>
                    <xdr:rowOff>180975</xdr:rowOff>
                  </from>
                  <to>
                    <xdr:col>16</xdr:col>
                    <xdr:colOff>285750</xdr:colOff>
                    <xdr:row>103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35" name="Garantie2161CB">
              <controlPr defaultSize="0" autoFill="0" autoLine="0" autoPict="0" macro="[0]!Garantie2161CB_Cliquer">
                <anchor moveWithCells="1">
                  <from>
                    <xdr:col>16</xdr:col>
                    <xdr:colOff>95250</xdr:colOff>
                    <xdr:row>103</xdr:row>
                    <xdr:rowOff>180975</xdr:rowOff>
                  </from>
                  <to>
                    <xdr:col>16</xdr:col>
                    <xdr:colOff>285750</xdr:colOff>
                    <xdr:row>104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36" name="Garantie2162CB">
              <controlPr defaultSize="0" autoFill="0" autoLine="0" autoPict="0" macro="[0]!Garantie2162CB_Cliquer">
                <anchor moveWithCells="1">
                  <from>
                    <xdr:col>16</xdr:col>
                    <xdr:colOff>95250</xdr:colOff>
                    <xdr:row>104</xdr:row>
                    <xdr:rowOff>180975</xdr:rowOff>
                  </from>
                  <to>
                    <xdr:col>16</xdr:col>
                    <xdr:colOff>285750</xdr:colOff>
                    <xdr:row>105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37" name="Garantie2163CB">
              <controlPr defaultSize="0" autoFill="0" autoLine="0" autoPict="0" macro="[0]!Garantie2163CB_Cliquer">
                <anchor moveWithCells="1">
                  <from>
                    <xdr:col>16</xdr:col>
                    <xdr:colOff>95250</xdr:colOff>
                    <xdr:row>106</xdr:row>
                    <xdr:rowOff>0</xdr:rowOff>
                  </from>
                  <to>
                    <xdr:col>16</xdr:col>
                    <xdr:colOff>285750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38" name="Garantie2164CB">
              <controlPr defaultSize="0" autoFill="0" autoLine="0" autoPict="0" macro="[0]!Garantie2164CB_Cliquer">
                <anchor moveWithCells="1">
                  <from>
                    <xdr:col>16</xdr:col>
                    <xdr:colOff>95250</xdr:colOff>
                    <xdr:row>107</xdr:row>
                    <xdr:rowOff>0</xdr:rowOff>
                  </from>
                  <to>
                    <xdr:col>16</xdr:col>
                    <xdr:colOff>285750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39" name="Garantie21641CB">
              <controlPr defaultSize="0" autoFill="0" autoLine="0" autoPict="0" macro="[0]!Garantie21641CB_Cliquer">
                <anchor moveWithCells="1">
                  <from>
                    <xdr:col>16</xdr:col>
                    <xdr:colOff>104775</xdr:colOff>
                    <xdr:row>108</xdr:row>
                    <xdr:rowOff>9525</xdr:rowOff>
                  </from>
                  <to>
                    <xdr:col>16</xdr:col>
                    <xdr:colOff>295275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40" name="Garantie21642CB">
              <controlPr defaultSize="0" autoFill="0" autoLine="0" autoPict="0" macro="[0]!Garantie21642CB_Cliquer">
                <anchor moveWithCells="1">
                  <from>
                    <xdr:col>16</xdr:col>
                    <xdr:colOff>104775</xdr:colOff>
                    <xdr:row>109</xdr:row>
                    <xdr:rowOff>0</xdr:rowOff>
                  </from>
                  <to>
                    <xdr:col>16</xdr:col>
                    <xdr:colOff>295275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1" name="Garantie21643CB">
              <controlPr defaultSize="0" autoFill="0" autoLine="0" autoPict="0" macro="[0]!Garantie21643CB_Cliquer">
                <anchor moveWithCells="1">
                  <from>
                    <xdr:col>16</xdr:col>
                    <xdr:colOff>104775</xdr:colOff>
                    <xdr:row>110</xdr:row>
                    <xdr:rowOff>0</xdr:rowOff>
                  </from>
                  <to>
                    <xdr:col>16</xdr:col>
                    <xdr:colOff>295275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2" name="Garantie21644CB">
              <controlPr defaultSize="0" autoFill="0" autoLine="0" autoPict="0" macro="[0]!Garantie21644CB_Cliquer">
                <anchor moveWithCells="1">
                  <from>
                    <xdr:col>16</xdr:col>
                    <xdr:colOff>104775</xdr:colOff>
                    <xdr:row>111</xdr:row>
                    <xdr:rowOff>0</xdr:rowOff>
                  </from>
                  <to>
                    <xdr:col>16</xdr:col>
                    <xdr:colOff>295275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43" name="Garantie21645CB">
              <controlPr defaultSize="0" autoFill="0" autoLine="0" autoPict="0" macro="[0]!Garantie21645CB_Cliquer">
                <anchor moveWithCells="1">
                  <from>
                    <xdr:col>16</xdr:col>
                    <xdr:colOff>104775</xdr:colOff>
                    <xdr:row>112</xdr:row>
                    <xdr:rowOff>9525</xdr:rowOff>
                  </from>
                  <to>
                    <xdr:col>16</xdr:col>
                    <xdr:colOff>295275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44" name="Garantie217CB">
              <controlPr defaultSize="0" autoFill="0" autoLine="0" autoPict="0" macro="[0]!Garantie217CB_Cliquer">
                <anchor moveWithCells="1">
                  <from>
                    <xdr:col>16</xdr:col>
                    <xdr:colOff>104775</xdr:colOff>
                    <xdr:row>113</xdr:row>
                    <xdr:rowOff>9525</xdr:rowOff>
                  </from>
                  <to>
                    <xdr:col>16</xdr:col>
                    <xdr:colOff>295275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45" name="Garantie2171CB">
              <controlPr defaultSize="0" autoFill="0" autoLine="0" autoPict="0" macro="[0]!Garantie2171CB_Cliquer">
                <anchor moveWithCells="1">
                  <from>
                    <xdr:col>16</xdr:col>
                    <xdr:colOff>104775</xdr:colOff>
                    <xdr:row>114</xdr:row>
                    <xdr:rowOff>9525</xdr:rowOff>
                  </from>
                  <to>
                    <xdr:col>16</xdr:col>
                    <xdr:colOff>295275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46" name="Garantie21711CB">
              <controlPr defaultSize="0" autoFill="0" autoLine="0" autoPict="0" macro="[0]!Garantie21711CB_Cliquer">
                <anchor moveWithCells="1">
                  <from>
                    <xdr:col>16</xdr:col>
                    <xdr:colOff>104775</xdr:colOff>
                    <xdr:row>115</xdr:row>
                    <xdr:rowOff>9525</xdr:rowOff>
                  </from>
                  <to>
                    <xdr:col>16</xdr:col>
                    <xdr:colOff>295275</xdr:colOff>
                    <xdr:row>116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47" name="Garantie21712CB">
              <controlPr defaultSize="0" autoFill="0" autoLine="0" autoPict="0" macro="[0]!Garantie21712CB_Cliquer">
                <anchor moveWithCells="1">
                  <from>
                    <xdr:col>16</xdr:col>
                    <xdr:colOff>104775</xdr:colOff>
                    <xdr:row>116</xdr:row>
                    <xdr:rowOff>9525</xdr:rowOff>
                  </from>
                  <to>
                    <xdr:col>16</xdr:col>
                    <xdr:colOff>295275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48" name="Garantie2172CB">
              <controlPr defaultSize="0" autoFill="0" autoLine="0" autoPict="0" macro="[0]!Garantie2172CB_Cliquer">
                <anchor moveWithCells="1">
                  <from>
                    <xdr:col>16</xdr:col>
                    <xdr:colOff>104775</xdr:colOff>
                    <xdr:row>117</xdr:row>
                    <xdr:rowOff>9525</xdr:rowOff>
                  </from>
                  <to>
                    <xdr:col>16</xdr:col>
                    <xdr:colOff>295275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49" name="Garantie21721CB">
              <controlPr defaultSize="0" autoFill="0" autoLine="0" autoPict="0" macro="[0]!Garantie21721CB_Cliquer">
                <anchor moveWithCells="1">
                  <from>
                    <xdr:col>16</xdr:col>
                    <xdr:colOff>104775</xdr:colOff>
                    <xdr:row>118</xdr:row>
                    <xdr:rowOff>9525</xdr:rowOff>
                  </from>
                  <to>
                    <xdr:col>16</xdr:col>
                    <xdr:colOff>295275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0" name="Garantie21722CB">
              <controlPr defaultSize="0" autoFill="0" autoLine="0" autoPict="0" macro="[0]!Garantie21722CB_Cliquer">
                <anchor moveWithCells="1">
                  <from>
                    <xdr:col>16</xdr:col>
                    <xdr:colOff>104775</xdr:colOff>
                    <xdr:row>119</xdr:row>
                    <xdr:rowOff>9525</xdr:rowOff>
                  </from>
                  <to>
                    <xdr:col>16</xdr:col>
                    <xdr:colOff>295275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51" name="Garantie21723CB">
              <controlPr defaultSize="0" autoFill="0" autoLine="0" autoPict="0" macro="[0]!Garantie21723CB_Cliquer">
                <anchor moveWithCells="1">
                  <from>
                    <xdr:col>16</xdr:col>
                    <xdr:colOff>104775</xdr:colOff>
                    <xdr:row>120</xdr:row>
                    <xdr:rowOff>0</xdr:rowOff>
                  </from>
                  <to>
                    <xdr:col>16</xdr:col>
                    <xdr:colOff>295275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52" name="Garantie2173CB">
              <controlPr defaultSize="0" autoFill="0" autoLine="0" autoPict="0" macro="[0]!Garantie2173CB_Cliquer">
                <anchor moveWithCells="1">
                  <from>
                    <xdr:col>16</xdr:col>
                    <xdr:colOff>104775</xdr:colOff>
                    <xdr:row>121</xdr:row>
                    <xdr:rowOff>0</xdr:rowOff>
                  </from>
                  <to>
                    <xdr:col>16</xdr:col>
                    <xdr:colOff>295275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53" name="Garantie2174CB">
              <controlPr defaultSize="0" autoFill="0" autoLine="0" autoPict="0" macro="[0]!Garantie2174CB_Cliquer">
                <anchor moveWithCells="1">
                  <from>
                    <xdr:col>16</xdr:col>
                    <xdr:colOff>104775</xdr:colOff>
                    <xdr:row>122</xdr:row>
                    <xdr:rowOff>0</xdr:rowOff>
                  </from>
                  <to>
                    <xdr:col>16</xdr:col>
                    <xdr:colOff>295275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54" name="Garantie21741CB">
              <controlPr defaultSize="0" autoFill="0" autoLine="0" autoPict="0" macro="[0]!Garantie21741CB_Cliquer">
                <anchor moveWithCells="1">
                  <from>
                    <xdr:col>16</xdr:col>
                    <xdr:colOff>104775</xdr:colOff>
                    <xdr:row>123</xdr:row>
                    <xdr:rowOff>0</xdr:rowOff>
                  </from>
                  <to>
                    <xdr:col>16</xdr:col>
                    <xdr:colOff>295275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55" name="Garantie21742CB">
              <controlPr defaultSize="0" autoFill="0" autoLine="0" autoPict="0" macro="[0]!Garantie21742CB_Cliquer">
                <anchor moveWithCells="1">
                  <from>
                    <xdr:col>16</xdr:col>
                    <xdr:colOff>104775</xdr:colOff>
                    <xdr:row>124</xdr:row>
                    <xdr:rowOff>0</xdr:rowOff>
                  </from>
                  <to>
                    <xdr:col>16</xdr:col>
                    <xdr:colOff>295275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56" name="Garantie218CB">
              <controlPr defaultSize="0" autoFill="0" autoLine="0" autoPict="0" macro="[0]!Garantie218CB_Cliquer">
                <anchor moveWithCells="1">
                  <from>
                    <xdr:col>16</xdr:col>
                    <xdr:colOff>104775</xdr:colOff>
                    <xdr:row>125</xdr:row>
                    <xdr:rowOff>0</xdr:rowOff>
                  </from>
                  <to>
                    <xdr:col>16</xdr:col>
                    <xdr:colOff>295275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57" name="Garantie2181CB">
              <controlPr defaultSize="0" autoFill="0" autoLine="0" autoPict="0" macro="[0]!Garantie2181CB_Cliquer">
                <anchor moveWithCells="1">
                  <from>
                    <xdr:col>16</xdr:col>
                    <xdr:colOff>104775</xdr:colOff>
                    <xdr:row>126</xdr:row>
                    <xdr:rowOff>9525</xdr:rowOff>
                  </from>
                  <to>
                    <xdr:col>16</xdr:col>
                    <xdr:colOff>295275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58" name="Garantie21811CB">
              <controlPr defaultSize="0" autoFill="0" autoLine="0" autoPict="0" macro="[0]!Garantie21811CB_Cliquer">
                <anchor moveWithCells="1">
                  <from>
                    <xdr:col>16</xdr:col>
                    <xdr:colOff>104775</xdr:colOff>
                    <xdr:row>127</xdr:row>
                    <xdr:rowOff>0</xdr:rowOff>
                  </from>
                  <to>
                    <xdr:col>16</xdr:col>
                    <xdr:colOff>295275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9" name="Garantie21812CB">
              <controlPr defaultSize="0" autoFill="0" autoLine="0" autoPict="0" macro="[0]!Garantie21812CB_Cliquer">
                <anchor moveWithCells="1">
                  <from>
                    <xdr:col>16</xdr:col>
                    <xdr:colOff>104775</xdr:colOff>
                    <xdr:row>127</xdr:row>
                    <xdr:rowOff>180975</xdr:rowOff>
                  </from>
                  <to>
                    <xdr:col>16</xdr:col>
                    <xdr:colOff>295275</xdr:colOff>
                    <xdr:row>128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0" name="Garantie21813CB">
              <controlPr defaultSize="0" autoFill="0" autoLine="0" autoPict="0" macro="[0]!Garantie21813CB_Cliquer">
                <anchor moveWithCells="1">
                  <from>
                    <xdr:col>16</xdr:col>
                    <xdr:colOff>104775</xdr:colOff>
                    <xdr:row>129</xdr:row>
                    <xdr:rowOff>0</xdr:rowOff>
                  </from>
                  <to>
                    <xdr:col>16</xdr:col>
                    <xdr:colOff>295275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1" name="Garantie21814CB">
              <controlPr defaultSize="0" autoFill="0" autoLine="0" autoPict="0" macro="[0]!Garantie21814CB_Cliquer">
                <anchor moveWithCells="1">
                  <from>
                    <xdr:col>16</xdr:col>
                    <xdr:colOff>104775</xdr:colOff>
                    <xdr:row>130</xdr:row>
                    <xdr:rowOff>0</xdr:rowOff>
                  </from>
                  <to>
                    <xdr:col>16</xdr:col>
                    <xdr:colOff>295275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2" name="Garantie2182CB">
              <controlPr defaultSize="0" autoFill="0" autoLine="0" autoPict="0" macro="[0]!Garantie2182CB_Cliquer">
                <anchor moveWithCells="1">
                  <from>
                    <xdr:col>16</xdr:col>
                    <xdr:colOff>104775</xdr:colOff>
                    <xdr:row>132</xdr:row>
                    <xdr:rowOff>0</xdr:rowOff>
                  </from>
                  <to>
                    <xdr:col>16</xdr:col>
                    <xdr:colOff>295275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3" name="Garantie21821CB">
              <controlPr defaultSize="0" autoFill="0" autoLine="0" autoPict="0" macro="[0]!Garantie21821CB_Cliquer">
                <anchor moveWithCells="1">
                  <from>
                    <xdr:col>16</xdr:col>
                    <xdr:colOff>104775</xdr:colOff>
                    <xdr:row>133</xdr:row>
                    <xdr:rowOff>0</xdr:rowOff>
                  </from>
                  <to>
                    <xdr:col>16</xdr:col>
                    <xdr:colOff>295275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4" name="Garantie2183CB">
              <controlPr defaultSize="0" autoFill="0" autoLine="0" autoPict="0" macro="[0]!Garantie2183CB_Cliquer">
                <anchor moveWithCells="1">
                  <from>
                    <xdr:col>16</xdr:col>
                    <xdr:colOff>104775</xdr:colOff>
                    <xdr:row>134</xdr:row>
                    <xdr:rowOff>9525</xdr:rowOff>
                  </from>
                  <to>
                    <xdr:col>16</xdr:col>
                    <xdr:colOff>295275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" name="Garantie2184CB">
              <controlPr defaultSize="0" autoFill="0" autoLine="0" autoPict="0" macro="[0]!Garantie2184CB_Cliquer">
                <anchor moveWithCells="1">
                  <from>
                    <xdr:col>16</xdr:col>
                    <xdr:colOff>104775</xdr:colOff>
                    <xdr:row>135</xdr:row>
                    <xdr:rowOff>9525</xdr:rowOff>
                  </from>
                  <to>
                    <xdr:col>16</xdr:col>
                    <xdr:colOff>295275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6" name="Garantie21815CB">
              <controlPr defaultSize="0" autoFill="0" autoLine="0" autoPict="0" macro="[0]!Garantie21815CB_Cliquer">
                <anchor moveWithCells="1">
                  <from>
                    <xdr:col>16</xdr:col>
                    <xdr:colOff>104775</xdr:colOff>
                    <xdr:row>130</xdr:row>
                    <xdr:rowOff>180975</xdr:rowOff>
                  </from>
                  <to>
                    <xdr:col>16</xdr:col>
                    <xdr:colOff>295275</xdr:colOff>
                    <xdr:row>131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7" name="Garantie2185CB">
              <controlPr defaultSize="0" autoFill="0" autoLine="0" autoPict="0" macro="[0]!Garantie2185CB_Cliquer">
                <anchor moveWithCells="1">
                  <from>
                    <xdr:col>16</xdr:col>
                    <xdr:colOff>104775</xdr:colOff>
                    <xdr:row>136</xdr:row>
                    <xdr:rowOff>0</xdr:rowOff>
                  </from>
                  <to>
                    <xdr:col>16</xdr:col>
                    <xdr:colOff>295275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8" name="Garantie2186CB">
              <controlPr defaultSize="0" autoFill="0" autoLine="0" autoPict="0" macro="[0]!Garantie2186CB_Cliquer">
                <anchor moveWithCells="1">
                  <from>
                    <xdr:col>16</xdr:col>
                    <xdr:colOff>104775</xdr:colOff>
                    <xdr:row>137</xdr:row>
                    <xdr:rowOff>0</xdr:rowOff>
                  </from>
                  <to>
                    <xdr:col>16</xdr:col>
                    <xdr:colOff>295275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9" name="Garantie2187CB">
              <controlPr defaultSize="0" autoFill="0" autoLine="0" autoPict="0" macro="[0]!Garantie2187CB_Cliquer">
                <anchor moveWithCells="1">
                  <from>
                    <xdr:col>16</xdr:col>
                    <xdr:colOff>104775</xdr:colOff>
                    <xdr:row>138</xdr:row>
                    <xdr:rowOff>9525</xdr:rowOff>
                  </from>
                  <to>
                    <xdr:col>16</xdr:col>
                    <xdr:colOff>295275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70" name="Garantie2188CB">
              <controlPr defaultSize="0" autoFill="0" autoLine="0" autoPict="0" macro="[0]!Garantie2188CB_Cliquer">
                <anchor moveWithCells="1">
                  <from>
                    <xdr:col>16</xdr:col>
                    <xdr:colOff>104775</xdr:colOff>
                    <xdr:row>139</xdr:row>
                    <xdr:rowOff>9525</xdr:rowOff>
                  </from>
                  <to>
                    <xdr:col>16</xdr:col>
                    <xdr:colOff>295275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71" name="Garantie2189CB">
              <controlPr defaultSize="0" autoFill="0" autoLine="0" autoPict="0" macro="[0]!Garantie2189CB_Cliquer">
                <anchor moveWithCells="1">
                  <from>
                    <xdr:col>16</xdr:col>
                    <xdr:colOff>104775</xdr:colOff>
                    <xdr:row>140</xdr:row>
                    <xdr:rowOff>19050</xdr:rowOff>
                  </from>
                  <to>
                    <xdr:col>16</xdr:col>
                    <xdr:colOff>295275</xdr:colOff>
                    <xdr:row>141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72" name="Garantie21810CB">
              <controlPr defaultSize="0" autoFill="0" autoLine="0" autoPict="0" macro="[0]!Garantie21810CB_Cliquer">
                <anchor moveWithCells="1">
                  <from>
                    <xdr:col>16</xdr:col>
                    <xdr:colOff>104775</xdr:colOff>
                    <xdr:row>141</xdr:row>
                    <xdr:rowOff>9525</xdr:rowOff>
                  </from>
                  <to>
                    <xdr:col>16</xdr:col>
                    <xdr:colOff>295275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73" name="Bloc22CB">
              <controlPr defaultSize="0" autoFill="0" autoLine="0" autoPict="0" macro="[0]!Bloc22CB_Cliquer">
                <anchor moveWithCells="1">
                  <from>
                    <xdr:col>16</xdr:col>
                    <xdr:colOff>95250</xdr:colOff>
                    <xdr:row>142</xdr:row>
                    <xdr:rowOff>9525</xdr:rowOff>
                  </from>
                  <to>
                    <xdr:col>16</xdr:col>
                    <xdr:colOff>285750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74" name="Garantie2211CB">
              <controlPr defaultSize="0" autoFill="0" autoLine="0" autoPict="0" macro="[0]!Garantie2211CB_Cliquer">
                <anchor moveWithCells="1">
                  <from>
                    <xdr:col>16</xdr:col>
                    <xdr:colOff>95250</xdr:colOff>
                    <xdr:row>143</xdr:row>
                    <xdr:rowOff>9525</xdr:rowOff>
                  </from>
                  <to>
                    <xdr:col>16</xdr:col>
                    <xdr:colOff>285750</xdr:colOff>
                    <xdr:row>144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75" name="Garantie2212CB">
              <controlPr defaultSize="0" autoFill="0" autoLine="0" autoPict="0" macro="[0]!Garantie2212CB_Cliquer">
                <anchor moveWithCells="1">
                  <from>
                    <xdr:col>16</xdr:col>
                    <xdr:colOff>95250</xdr:colOff>
                    <xdr:row>144</xdr:row>
                    <xdr:rowOff>19050</xdr:rowOff>
                  </from>
                  <to>
                    <xdr:col>16</xdr:col>
                    <xdr:colOff>285750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76" name="Garantie2213CB">
              <controlPr defaultSize="0" autoFill="0" autoLine="0" autoPict="0" macro="[0]!Garantie2213CB_Cliquer">
                <anchor moveWithCells="1">
                  <from>
                    <xdr:col>16</xdr:col>
                    <xdr:colOff>95250</xdr:colOff>
                    <xdr:row>145</xdr:row>
                    <xdr:rowOff>19050</xdr:rowOff>
                  </from>
                  <to>
                    <xdr:col>16</xdr:col>
                    <xdr:colOff>285750</xdr:colOff>
                    <xdr:row>146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77" name="Garantie2214CB">
              <controlPr defaultSize="0" autoFill="0" autoLine="0" autoPict="0" macro="[0]!Garantie2214CB_Cliquer">
                <anchor moveWithCells="1">
                  <from>
                    <xdr:col>16</xdr:col>
                    <xdr:colOff>95250</xdr:colOff>
                    <xdr:row>146</xdr:row>
                    <xdr:rowOff>28575</xdr:rowOff>
                  </from>
                  <to>
                    <xdr:col>16</xdr:col>
                    <xdr:colOff>285750</xdr:colOff>
                    <xdr:row>147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78" name="Garantie2215CB">
              <controlPr defaultSize="0" autoFill="0" autoLine="0" autoPict="0" macro="[0]!Garantie2215CB_Cliquer">
                <anchor moveWithCells="1">
                  <from>
                    <xdr:col>16</xdr:col>
                    <xdr:colOff>95250</xdr:colOff>
                    <xdr:row>147</xdr:row>
                    <xdr:rowOff>28575</xdr:rowOff>
                  </from>
                  <to>
                    <xdr:col>16</xdr:col>
                    <xdr:colOff>285750</xdr:colOff>
                    <xdr:row>148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79" name="Garantie2216CB">
              <controlPr defaultSize="0" autoFill="0" autoLine="0" autoPict="0" macro="[0]!Garantie2216CB_Cliquer">
                <anchor moveWithCells="1">
                  <from>
                    <xdr:col>16</xdr:col>
                    <xdr:colOff>95250</xdr:colOff>
                    <xdr:row>148</xdr:row>
                    <xdr:rowOff>28575</xdr:rowOff>
                  </from>
                  <to>
                    <xdr:col>16</xdr:col>
                    <xdr:colOff>285750</xdr:colOff>
                    <xdr:row>149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80" name="Garantie222CB">
              <controlPr defaultSize="0" autoFill="0" autoLine="0" autoPict="0" macro="[0]!Garantie222CB_Cliquer">
                <anchor moveWithCells="1">
                  <from>
                    <xdr:col>16</xdr:col>
                    <xdr:colOff>95250</xdr:colOff>
                    <xdr:row>149</xdr:row>
                    <xdr:rowOff>28575</xdr:rowOff>
                  </from>
                  <to>
                    <xdr:col>16</xdr:col>
                    <xdr:colOff>285750</xdr:colOff>
                    <xdr:row>150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81" name="Garantie223CB">
              <controlPr defaultSize="0" autoFill="0" autoLine="0" autoPict="0" macro="[0]!Garantie223CB_Cliquer">
                <anchor moveWithCells="1">
                  <from>
                    <xdr:col>16</xdr:col>
                    <xdr:colOff>95250</xdr:colOff>
                    <xdr:row>150</xdr:row>
                    <xdr:rowOff>28575</xdr:rowOff>
                  </from>
                  <to>
                    <xdr:col>16</xdr:col>
                    <xdr:colOff>285750</xdr:colOff>
                    <xdr:row>151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82" name="Garantie2231CB">
              <controlPr defaultSize="0" autoFill="0" autoLine="0" autoPict="0" macro="[0]!Garantie2231CB_Cliquer">
                <anchor moveWithCells="1">
                  <from>
                    <xdr:col>16</xdr:col>
                    <xdr:colOff>95250</xdr:colOff>
                    <xdr:row>151</xdr:row>
                    <xdr:rowOff>9525</xdr:rowOff>
                  </from>
                  <to>
                    <xdr:col>16</xdr:col>
                    <xdr:colOff>285750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83" name="Garantie2232CB">
              <controlPr defaultSize="0" autoFill="0" autoLine="0" autoPict="0" macro="[0]!Garantie2232CB_Cliquer">
                <anchor moveWithCells="1">
                  <from>
                    <xdr:col>16</xdr:col>
                    <xdr:colOff>95250</xdr:colOff>
                    <xdr:row>152</xdr:row>
                    <xdr:rowOff>9525</xdr:rowOff>
                  </from>
                  <to>
                    <xdr:col>16</xdr:col>
                    <xdr:colOff>285750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84" name="Bloc23CB">
              <controlPr defaultSize="0" autoFill="0" autoLine="0" autoPict="0" macro="[0]!Bloc23CB_Cliquer">
                <anchor moveWithCells="1">
                  <from>
                    <xdr:col>16</xdr:col>
                    <xdr:colOff>95250</xdr:colOff>
                    <xdr:row>153</xdr:row>
                    <xdr:rowOff>9525</xdr:rowOff>
                  </from>
                  <to>
                    <xdr:col>16</xdr:col>
                    <xdr:colOff>285750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85" name="Bloc24CB">
              <controlPr defaultSize="0" autoFill="0" autoLine="0" autoPict="0" macro="[0]!Bloc24CB_Cliquer">
                <anchor moveWithCells="1">
                  <from>
                    <xdr:col>16</xdr:col>
                    <xdr:colOff>95250</xdr:colOff>
                    <xdr:row>160</xdr:row>
                    <xdr:rowOff>9525</xdr:rowOff>
                  </from>
                  <to>
                    <xdr:col>16</xdr:col>
                    <xdr:colOff>285750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86" name="Garantie231CB">
              <controlPr defaultSize="0" autoFill="0" autoLine="0" autoPict="0" macro="[0]!Garantie231CB_Cliquer">
                <anchor moveWithCells="1">
                  <from>
                    <xdr:col>16</xdr:col>
                    <xdr:colOff>95250</xdr:colOff>
                    <xdr:row>154</xdr:row>
                    <xdr:rowOff>19050</xdr:rowOff>
                  </from>
                  <to>
                    <xdr:col>16</xdr:col>
                    <xdr:colOff>285750</xdr:colOff>
                    <xdr:row>155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87" name="Garantie232CB">
              <controlPr defaultSize="0" autoFill="0" autoLine="0" autoPict="0" macro="[0]!Garantie232CB_Cliquer">
                <anchor moveWithCells="1">
                  <from>
                    <xdr:col>16</xdr:col>
                    <xdr:colOff>95250</xdr:colOff>
                    <xdr:row>155</xdr:row>
                    <xdr:rowOff>9525</xdr:rowOff>
                  </from>
                  <to>
                    <xdr:col>16</xdr:col>
                    <xdr:colOff>285750</xdr:colOff>
                    <xdr:row>156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8" name="Garantie2321CB">
              <controlPr defaultSize="0" autoFill="0" autoLine="0" autoPict="0" macro="[0]!Garantie2321CB_Cliquer">
                <anchor moveWithCells="1">
                  <from>
                    <xdr:col>16</xdr:col>
                    <xdr:colOff>95250</xdr:colOff>
                    <xdr:row>156</xdr:row>
                    <xdr:rowOff>19050</xdr:rowOff>
                  </from>
                  <to>
                    <xdr:col>16</xdr:col>
                    <xdr:colOff>285750</xdr:colOff>
                    <xdr:row>157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9" name="Garantie2322CB">
              <controlPr defaultSize="0" autoFill="0" autoLine="0" autoPict="0" macro="[0]!Garantie2322CB_Cliquer">
                <anchor moveWithCells="1">
                  <from>
                    <xdr:col>16</xdr:col>
                    <xdr:colOff>95250</xdr:colOff>
                    <xdr:row>157</xdr:row>
                    <xdr:rowOff>28575</xdr:rowOff>
                  </from>
                  <to>
                    <xdr:col>16</xdr:col>
                    <xdr:colOff>285750</xdr:colOff>
                    <xdr:row>158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90" name="Garantie2323CB">
              <controlPr defaultSize="0" autoFill="0" autoLine="0" autoPict="0" macro="[0]!Garantie2323CB_Cliquer">
                <anchor moveWithCells="1">
                  <from>
                    <xdr:col>16</xdr:col>
                    <xdr:colOff>95250</xdr:colOff>
                    <xdr:row>158</xdr:row>
                    <xdr:rowOff>38100</xdr:rowOff>
                  </from>
                  <to>
                    <xdr:col>16</xdr:col>
                    <xdr:colOff>285750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91" name="Garantie2324CB">
              <controlPr defaultSize="0" autoFill="0" autoLine="0" autoPict="0" macro="[0]!Garantie2324CB_Cliquer">
                <anchor moveWithCells="1">
                  <from>
                    <xdr:col>16</xdr:col>
                    <xdr:colOff>95250</xdr:colOff>
                    <xdr:row>159</xdr:row>
                    <xdr:rowOff>28575</xdr:rowOff>
                  </from>
                  <to>
                    <xdr:col>16</xdr:col>
                    <xdr:colOff>285750</xdr:colOff>
                    <xdr:row>160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92" name="Garantie241CB">
              <controlPr defaultSize="0" autoFill="0" autoLine="0" autoPict="0" macro="[0]!Garantie241CB_Cliquer">
                <anchor moveWithCells="1">
                  <from>
                    <xdr:col>16</xdr:col>
                    <xdr:colOff>95250</xdr:colOff>
                    <xdr:row>161</xdr:row>
                    <xdr:rowOff>0</xdr:rowOff>
                  </from>
                  <to>
                    <xdr:col>16</xdr:col>
                    <xdr:colOff>285750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93" name="Garantie242CB">
              <controlPr defaultSize="0" autoFill="0" autoLine="0" autoPict="0" macro="[0]!Garantie242CB_Cliquer">
                <anchor moveWithCells="1">
                  <from>
                    <xdr:col>16</xdr:col>
                    <xdr:colOff>95250</xdr:colOff>
                    <xdr:row>162</xdr:row>
                    <xdr:rowOff>0</xdr:rowOff>
                  </from>
                  <to>
                    <xdr:col>16</xdr:col>
                    <xdr:colOff>285750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94" name="Garantie2421CB">
              <controlPr defaultSize="0" autoFill="0" autoLine="0" autoPict="0" macro="[0]!Garantie2421CB_Cliquer">
                <anchor moveWithCells="1">
                  <from>
                    <xdr:col>16</xdr:col>
                    <xdr:colOff>95250</xdr:colOff>
                    <xdr:row>162</xdr:row>
                    <xdr:rowOff>180975</xdr:rowOff>
                  </from>
                  <to>
                    <xdr:col>16</xdr:col>
                    <xdr:colOff>285750</xdr:colOff>
                    <xdr:row>163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95" name="Bloc25CB">
              <controlPr defaultSize="0" autoFill="0" autoLine="0" autoPict="0" macro="[0]!Bloc25CB_Cliquer">
                <anchor moveWithCells="1">
                  <from>
                    <xdr:col>16</xdr:col>
                    <xdr:colOff>95250</xdr:colOff>
                    <xdr:row>164</xdr:row>
                    <xdr:rowOff>0</xdr:rowOff>
                  </from>
                  <to>
                    <xdr:col>16</xdr:col>
                    <xdr:colOff>285750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96" name="Garantie251CB">
              <controlPr defaultSize="0" autoFill="0" autoLine="0" autoPict="0" macro="[0]!Garantie251CB_Cliquer">
                <anchor moveWithCells="1">
                  <from>
                    <xdr:col>16</xdr:col>
                    <xdr:colOff>95250</xdr:colOff>
                    <xdr:row>165</xdr:row>
                    <xdr:rowOff>9525</xdr:rowOff>
                  </from>
                  <to>
                    <xdr:col>16</xdr:col>
                    <xdr:colOff>285750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97" name="Garantie2511CB">
              <controlPr defaultSize="0" autoFill="0" autoLine="0" autoPict="0" macro="[0]!Garantie2511CB_Cliquer">
                <anchor moveWithCells="1">
                  <from>
                    <xdr:col>16</xdr:col>
                    <xdr:colOff>95250</xdr:colOff>
                    <xdr:row>166</xdr:row>
                    <xdr:rowOff>0</xdr:rowOff>
                  </from>
                  <to>
                    <xdr:col>16</xdr:col>
                    <xdr:colOff>285750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8" name="Garantie2512CB">
              <controlPr defaultSize="0" autoFill="0" autoLine="0" autoPict="0" macro="[0]!Garantie2512CB_Cliquer">
                <anchor moveWithCells="1">
                  <from>
                    <xdr:col>16</xdr:col>
                    <xdr:colOff>95250</xdr:colOff>
                    <xdr:row>167</xdr:row>
                    <xdr:rowOff>9525</xdr:rowOff>
                  </from>
                  <to>
                    <xdr:col>16</xdr:col>
                    <xdr:colOff>285750</xdr:colOff>
                    <xdr:row>168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9" name="Garantie2513CB">
              <controlPr defaultSize="0" autoFill="0" autoLine="0" autoPict="0" macro="[0]!Garantie2513CB_Cliquer">
                <anchor moveWithCells="1">
                  <from>
                    <xdr:col>16</xdr:col>
                    <xdr:colOff>95250</xdr:colOff>
                    <xdr:row>168</xdr:row>
                    <xdr:rowOff>0</xdr:rowOff>
                  </from>
                  <to>
                    <xdr:col>16</xdr:col>
                    <xdr:colOff>285750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100" name="Bloc26CB">
              <controlPr defaultSize="0" autoFill="0" autoLine="0" autoPict="0" macro="[0]!Bloc26CB_Cliquer">
                <anchor moveWithCells="1">
                  <from>
                    <xdr:col>16</xdr:col>
                    <xdr:colOff>95250</xdr:colOff>
                    <xdr:row>169</xdr:row>
                    <xdr:rowOff>0</xdr:rowOff>
                  </from>
                  <to>
                    <xdr:col>16</xdr:col>
                    <xdr:colOff>285750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101" name="Garantie261CB">
              <controlPr defaultSize="0" autoFill="0" autoLine="0" autoPict="0" macro="[0]!Garantie261CB_Cliquer">
                <anchor moveWithCells="1">
                  <from>
                    <xdr:col>16</xdr:col>
                    <xdr:colOff>95250</xdr:colOff>
                    <xdr:row>170</xdr:row>
                    <xdr:rowOff>0</xdr:rowOff>
                  </from>
                  <to>
                    <xdr:col>16</xdr:col>
                    <xdr:colOff>285750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102" name="Bloc27CB">
              <controlPr defaultSize="0" autoFill="0" autoLine="0" autoPict="0" macro="[0]!Bloc27CB_Cliquer">
                <anchor moveWithCells="1">
                  <from>
                    <xdr:col>16</xdr:col>
                    <xdr:colOff>95250</xdr:colOff>
                    <xdr:row>171</xdr:row>
                    <xdr:rowOff>9525</xdr:rowOff>
                  </from>
                  <to>
                    <xdr:col>16</xdr:col>
                    <xdr:colOff>285750</xdr:colOff>
                    <xdr:row>172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103" name="Garantie271CB">
              <controlPr defaultSize="0" autoFill="0" autoLine="0" autoPict="0" macro="[0]!Garantie271CB_Cliquer">
                <anchor moveWithCells="1">
                  <from>
                    <xdr:col>16</xdr:col>
                    <xdr:colOff>95250</xdr:colOff>
                    <xdr:row>172</xdr:row>
                    <xdr:rowOff>9525</xdr:rowOff>
                  </from>
                  <to>
                    <xdr:col>16</xdr:col>
                    <xdr:colOff>285750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104" name="Bloc31CB">
              <controlPr defaultSize="0" autoFill="0" autoLine="0" autoPict="0" macro="[0]!Bloc31CB_Cliquer">
                <anchor moveWithCells="1">
                  <from>
                    <xdr:col>16</xdr:col>
                    <xdr:colOff>95250</xdr:colOff>
                    <xdr:row>174</xdr:row>
                    <xdr:rowOff>9525</xdr:rowOff>
                  </from>
                  <to>
                    <xdr:col>16</xdr:col>
                    <xdr:colOff>285750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105" name="Garantie311CB">
              <controlPr defaultSize="0" autoFill="0" autoLine="0" autoPict="0" macro="[0]!Garantie311CB_Cliquer">
                <anchor moveWithCells="1">
                  <from>
                    <xdr:col>16</xdr:col>
                    <xdr:colOff>95250</xdr:colOff>
                    <xdr:row>175</xdr:row>
                    <xdr:rowOff>9525</xdr:rowOff>
                  </from>
                  <to>
                    <xdr:col>16</xdr:col>
                    <xdr:colOff>285750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106" name="Garantie312CB">
              <controlPr defaultSize="0" autoFill="0" autoLine="0" autoPict="0" macro="[0]!Garantie312CB_Cliquer">
                <anchor moveWithCells="1" sizeWithCells="1">
                  <from>
                    <xdr:col>16</xdr:col>
                    <xdr:colOff>95250</xdr:colOff>
                    <xdr:row>176</xdr:row>
                    <xdr:rowOff>0</xdr:rowOff>
                  </from>
                  <to>
                    <xdr:col>16</xdr:col>
                    <xdr:colOff>285750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107" name="Garantie313CB">
              <controlPr defaultSize="0" autoFill="0" autoLine="0" autoPict="0" macro="[0]!Garantie313CB_Cliquer">
                <anchor moveWithCells="1" sizeWithCells="1">
                  <from>
                    <xdr:col>16</xdr:col>
                    <xdr:colOff>95250</xdr:colOff>
                    <xdr:row>177</xdr:row>
                    <xdr:rowOff>9525</xdr:rowOff>
                  </from>
                  <to>
                    <xdr:col>16</xdr:col>
                    <xdr:colOff>285750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8" name="Garantie314CB">
              <controlPr defaultSize="0" autoFill="0" autoLine="0" autoPict="0" macro="[0]!Garantie314CB_Cliquer">
                <anchor moveWithCells="1" sizeWithCells="1">
                  <from>
                    <xdr:col>16</xdr:col>
                    <xdr:colOff>95250</xdr:colOff>
                    <xdr:row>178</xdr:row>
                    <xdr:rowOff>0</xdr:rowOff>
                  </from>
                  <to>
                    <xdr:col>16</xdr:col>
                    <xdr:colOff>285750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9" name="Bloc32CB">
              <controlPr defaultSize="0" autoFill="0" autoLine="0" autoPict="0" macro="[0]!Bloc32CB_Cliquer">
                <anchor moveWithCells="1" sizeWithCells="1">
                  <from>
                    <xdr:col>16</xdr:col>
                    <xdr:colOff>95250</xdr:colOff>
                    <xdr:row>179</xdr:row>
                    <xdr:rowOff>0</xdr:rowOff>
                  </from>
                  <to>
                    <xdr:col>16</xdr:col>
                    <xdr:colOff>285750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10" name="Garantie321CB">
              <controlPr defaultSize="0" autoFill="0" autoLine="0" autoPict="0" macro="[0]!Garantie321CB_Cliquer">
                <anchor moveWithCells="1" sizeWithCells="1">
                  <from>
                    <xdr:col>16</xdr:col>
                    <xdr:colOff>95250</xdr:colOff>
                    <xdr:row>180</xdr:row>
                    <xdr:rowOff>0</xdr:rowOff>
                  </from>
                  <to>
                    <xdr:col>16</xdr:col>
                    <xdr:colOff>285750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11" name="Bloc41CB">
              <controlPr defaultSize="0" autoFill="0" autoLine="0" autoPict="0" macro="[0]!Bloc41CB_Cliquer">
                <anchor moveWithCells="1">
                  <from>
                    <xdr:col>16</xdr:col>
                    <xdr:colOff>85725</xdr:colOff>
                    <xdr:row>182</xdr:row>
                    <xdr:rowOff>19050</xdr:rowOff>
                  </from>
                  <to>
                    <xdr:col>16</xdr:col>
                    <xdr:colOff>276225</xdr:colOff>
                    <xdr:row>183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12" name="Garantie411CB">
              <controlPr defaultSize="0" autoFill="0" autoLine="0" autoPict="0" macro="[0]!Garantie411CB_Cliquer">
                <anchor moveWithCells="1">
                  <from>
                    <xdr:col>16</xdr:col>
                    <xdr:colOff>85725</xdr:colOff>
                    <xdr:row>183</xdr:row>
                    <xdr:rowOff>9525</xdr:rowOff>
                  </from>
                  <to>
                    <xdr:col>16</xdr:col>
                    <xdr:colOff>276225</xdr:colOff>
                    <xdr:row>184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13" name="Garantie412CB">
              <controlPr defaultSize="0" autoFill="0" autoLine="0" autoPict="0" macro="[0]!Garantie412CB_Cliquer">
                <anchor moveWithCells="1">
                  <from>
                    <xdr:col>16</xdr:col>
                    <xdr:colOff>85725</xdr:colOff>
                    <xdr:row>184</xdr:row>
                    <xdr:rowOff>0</xdr:rowOff>
                  </from>
                  <to>
                    <xdr:col>16</xdr:col>
                    <xdr:colOff>276225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14" name="Bloc51CB">
              <controlPr defaultSize="0" autoFill="0" autoLine="0" autoPict="0" macro="[0]!Bloc51CB_Cliquer">
                <anchor moveWithCells="1">
                  <from>
                    <xdr:col>16</xdr:col>
                    <xdr:colOff>85725</xdr:colOff>
                    <xdr:row>186</xdr:row>
                    <xdr:rowOff>9525</xdr:rowOff>
                  </from>
                  <to>
                    <xdr:col>16</xdr:col>
                    <xdr:colOff>276225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15" name="Garantie511CB">
              <controlPr defaultSize="0" autoFill="0" autoLine="0" autoPict="0" macro="[0]!Garantie511CB_Cliquer">
                <anchor moveWithCells="1">
                  <from>
                    <xdr:col>16</xdr:col>
                    <xdr:colOff>95250</xdr:colOff>
                    <xdr:row>187</xdr:row>
                    <xdr:rowOff>9525</xdr:rowOff>
                  </from>
                  <to>
                    <xdr:col>16</xdr:col>
                    <xdr:colOff>285750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16" name="Garantie5111CB">
              <controlPr defaultSize="0" autoFill="0" autoLine="0" autoPict="0" macro="[0]!Garantie5111CB_Cliquer">
                <anchor moveWithCells="1">
                  <from>
                    <xdr:col>16</xdr:col>
                    <xdr:colOff>95250</xdr:colOff>
                    <xdr:row>188</xdr:row>
                    <xdr:rowOff>19050</xdr:rowOff>
                  </from>
                  <to>
                    <xdr:col>16</xdr:col>
                    <xdr:colOff>285750</xdr:colOff>
                    <xdr:row>189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17" name="Garantie5112CB">
              <controlPr defaultSize="0" autoFill="0" autoLine="0" autoPict="0" macro="[0]!Garantie5112CB_Cliquer">
                <anchor moveWithCells="1">
                  <from>
                    <xdr:col>16</xdr:col>
                    <xdr:colOff>95250</xdr:colOff>
                    <xdr:row>189</xdr:row>
                    <xdr:rowOff>19050</xdr:rowOff>
                  </from>
                  <to>
                    <xdr:col>16</xdr:col>
                    <xdr:colOff>285750</xdr:colOff>
                    <xdr:row>190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8" name="Garantie5113CB">
              <controlPr defaultSize="0" autoFill="0" autoLine="0" autoPict="0" macro="[0]!Garantie5113CB_Cliquer">
                <anchor moveWithCells="1">
                  <from>
                    <xdr:col>16</xdr:col>
                    <xdr:colOff>95250</xdr:colOff>
                    <xdr:row>190</xdr:row>
                    <xdr:rowOff>19050</xdr:rowOff>
                  </from>
                  <to>
                    <xdr:col>16</xdr:col>
                    <xdr:colOff>285750</xdr:colOff>
                    <xdr:row>191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9" name="Garantie5114CB">
              <controlPr defaultSize="0" autoFill="0" autoLine="0" autoPict="0" macro="[0]!Garantie5114CB_Cliquer">
                <anchor moveWithCells="1">
                  <from>
                    <xdr:col>16</xdr:col>
                    <xdr:colOff>95250</xdr:colOff>
                    <xdr:row>191</xdr:row>
                    <xdr:rowOff>19050</xdr:rowOff>
                  </from>
                  <to>
                    <xdr:col>16</xdr:col>
                    <xdr:colOff>285750</xdr:colOff>
                    <xdr:row>192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20" name="Garantie51141CB">
              <controlPr defaultSize="0" autoFill="0" autoLine="0" autoPict="0" macro="[0]!Garantie51141CB_Cliquer">
                <anchor moveWithCells="1">
                  <from>
                    <xdr:col>16</xdr:col>
                    <xdr:colOff>95250</xdr:colOff>
                    <xdr:row>192</xdr:row>
                    <xdr:rowOff>19050</xdr:rowOff>
                  </from>
                  <to>
                    <xdr:col>16</xdr:col>
                    <xdr:colOff>285750</xdr:colOff>
                    <xdr:row>193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21" name="Garantie5115CB">
              <controlPr defaultSize="0" autoFill="0" autoLine="0" autoPict="0" macro="[0]!Garantie5115CB_Cliquer">
                <anchor moveWithCells="1">
                  <from>
                    <xdr:col>16</xdr:col>
                    <xdr:colOff>95250</xdr:colOff>
                    <xdr:row>193</xdr:row>
                    <xdr:rowOff>19050</xdr:rowOff>
                  </from>
                  <to>
                    <xdr:col>16</xdr:col>
                    <xdr:colOff>285750</xdr:colOff>
                    <xdr:row>194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22" name="Garantie51151CB">
              <controlPr defaultSize="0" autoFill="0" autoLine="0" autoPict="0" macro="[0]!Garantie51151CB_Cliquer">
                <anchor moveWithCells="1">
                  <from>
                    <xdr:col>16</xdr:col>
                    <xdr:colOff>95250</xdr:colOff>
                    <xdr:row>194</xdr:row>
                    <xdr:rowOff>19050</xdr:rowOff>
                  </from>
                  <to>
                    <xdr:col>16</xdr:col>
                    <xdr:colOff>285750</xdr:colOff>
                    <xdr:row>195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23" name="Garantie51152CB">
              <controlPr defaultSize="0" autoFill="0" autoLine="0" autoPict="0" macro="[0]!Garantie51152CB_Cliquer">
                <anchor moveWithCells="1">
                  <from>
                    <xdr:col>16</xdr:col>
                    <xdr:colOff>95250</xdr:colOff>
                    <xdr:row>195</xdr:row>
                    <xdr:rowOff>9525</xdr:rowOff>
                  </from>
                  <to>
                    <xdr:col>16</xdr:col>
                    <xdr:colOff>285750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24" name="Bloc52CB">
              <controlPr defaultSize="0" autoFill="0" autoLine="0" autoPict="0" macro="[0]!Bloc52CB_Cliquer">
                <anchor moveWithCells="1">
                  <from>
                    <xdr:col>16</xdr:col>
                    <xdr:colOff>95250</xdr:colOff>
                    <xdr:row>196</xdr:row>
                    <xdr:rowOff>9525</xdr:rowOff>
                  </from>
                  <to>
                    <xdr:col>16</xdr:col>
                    <xdr:colOff>285750</xdr:colOff>
                    <xdr:row>197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25" name="Garantie521CB">
              <controlPr defaultSize="0" autoFill="0" autoLine="0" autoPict="0" macro="[0]!Garantie521CB_Cliquer">
                <anchor moveWithCells="1">
                  <from>
                    <xdr:col>16</xdr:col>
                    <xdr:colOff>95250</xdr:colOff>
                    <xdr:row>197</xdr:row>
                    <xdr:rowOff>9525</xdr:rowOff>
                  </from>
                  <to>
                    <xdr:col>16</xdr:col>
                    <xdr:colOff>285750</xdr:colOff>
                    <xdr:row>198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26" name="Garantie5211CB">
              <controlPr defaultSize="0" autoFill="0" autoLine="0" autoPict="0" macro="[0]!Garantie5211CB_Cliquer">
                <anchor moveWithCells="1">
                  <from>
                    <xdr:col>16</xdr:col>
                    <xdr:colOff>95250</xdr:colOff>
                    <xdr:row>198</xdr:row>
                    <xdr:rowOff>9525</xdr:rowOff>
                  </from>
                  <to>
                    <xdr:col>16</xdr:col>
                    <xdr:colOff>285750</xdr:colOff>
                    <xdr:row>199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27" name="Bloc53CB">
              <controlPr defaultSize="0" autoFill="0" autoLine="0" autoPict="0" macro="[0]!Bloc53CB_Cliquer">
                <anchor moveWithCells="1">
                  <from>
                    <xdr:col>16</xdr:col>
                    <xdr:colOff>95250</xdr:colOff>
                    <xdr:row>199</xdr:row>
                    <xdr:rowOff>9525</xdr:rowOff>
                  </from>
                  <to>
                    <xdr:col>16</xdr:col>
                    <xdr:colOff>285750</xdr:colOff>
                    <xdr:row>200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8" name="Garantie531CB">
              <controlPr defaultSize="0" autoFill="0" autoLine="0" autoPict="0" macro="[0]!Garantie531CB_Cliquer">
                <anchor moveWithCells="1">
                  <from>
                    <xdr:col>16</xdr:col>
                    <xdr:colOff>95250</xdr:colOff>
                    <xdr:row>200</xdr:row>
                    <xdr:rowOff>0</xdr:rowOff>
                  </from>
                  <to>
                    <xdr:col>16</xdr:col>
                    <xdr:colOff>285750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9" name="Garantie2113CB">
              <controlPr defaultSize="0" autoFill="0" autoLine="0" autoPict="0" macro="[1]!Garantie2113CB_Cliquer">
                <anchor moveWithCells="1">
                  <from>
                    <xdr:col>16</xdr:col>
                    <xdr:colOff>95250</xdr:colOff>
                    <xdr:row>95</xdr:row>
                    <xdr:rowOff>9525</xdr:rowOff>
                  </from>
                  <to>
                    <xdr:col>16</xdr:col>
                    <xdr:colOff>285750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30" name="Garantie2114CB">
              <controlPr defaultSize="0" autoFill="0" autoLine="0" autoPict="0" macro="[1]!Garantie2114CB_Cliquer">
                <anchor moveWithCells="1">
                  <from>
                    <xdr:col>16</xdr:col>
                    <xdr:colOff>95250</xdr:colOff>
                    <xdr:row>96</xdr:row>
                    <xdr:rowOff>19050</xdr:rowOff>
                  </from>
                  <to>
                    <xdr:col>16</xdr:col>
                    <xdr:colOff>285750</xdr:colOff>
                    <xdr:row>97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Referentiels!$A$2:$A$14</xm:f>
          </x14:formula1>
          <xm:sqref>B7</xm:sqref>
        </x14:dataValidation>
        <x14:dataValidation type="list" allowBlank="1" showInputMessage="1" showErrorMessage="1">
          <x14:formula1>
            <xm:f>Referentiels!$A$23:$A$28</xm:f>
          </x14:formula1>
          <xm:sqref>B12</xm:sqref>
        </x14:dataValidation>
        <x14:dataValidation type="list" allowBlank="1" showInputMessage="1" showErrorMessage="1">
          <x14:formula1>
            <xm:f>Referentiels!$B$23:$B$107</xm:f>
          </x14:formula1>
          <xm:sqref>B28</xm:sqref>
        </x14:dataValidation>
        <x14:dataValidation type="list" allowBlank="1" showInputMessage="1" showErrorMessage="1">
          <x14:formula1>
            <xm:f>Referentiels!$C$23:$C$29</xm:f>
          </x14:formula1>
          <xm:sqref>B53 B59 B41 B77 B71 B65 B47</xm:sqref>
        </x14:dataValidation>
        <x14:dataValidation type="list" allowBlank="1" showInputMessage="1" showErrorMessage="1">
          <x14:formula1>
            <xm:f>Referentiels!$D$23:$D$24</xm:f>
          </x14:formula1>
          <xm:sqref>E4</xm:sqref>
        </x14:dataValidation>
        <x14:dataValidation type="list" allowBlank="1" showInputMessage="1" showErrorMessage="1">
          <x14:formula1>
            <xm:f>Referentiels!$E$23:$E$40</xm:f>
          </x14:formula1>
          <xm:sqref>B38 B80 B74 B68 B62 B56 B50 B44</xm:sqref>
        </x14:dataValidation>
        <x14:dataValidation type="list" allowBlank="1" showInputMessage="1" showErrorMessage="1">
          <x14:formula1>
            <xm:f>Referentiels!$G$23:$G$25</xm:f>
          </x14:formula1>
          <xm:sqref>C39 C81 C75 C69 C63 C57 C51 C45</xm:sqref>
        </x14:dataValidation>
        <x14:dataValidation type="list" allowBlank="1" showInputMessage="1" showErrorMessage="1">
          <x14:formula1>
            <xm:f>Referentiels!$H$23:$H$34</xm:f>
          </x14:formula1>
          <xm:sqref>D45 K173 D57 K100:K102 K126 K188 K150:K151 K184 K201 D51 D39 D81 D75 D69 D63 K93 K114 K176:K179 K156 K163 K166 K171 K146:K148</xm:sqref>
        </x14:dataValidation>
        <x14:dataValidation type="list" allowBlank="1" showInputMessage="1" showErrorMessage="1">
          <x14:formula1>
            <xm:f>Referentiels!$I$23:$I$25</xm:f>
          </x14:formula1>
          <xm:sqref>E45 E39 E81 E75 E69 E63 E57 E51</xm:sqref>
        </x14:dataValidation>
        <x14:dataValidation type="list" allowBlank="1" showInputMessage="1" showErrorMessage="1">
          <x14:formula1>
            <xm:f>Referentiels!$K$23:$K$25</xm:f>
          </x14:formula1>
          <xm:sqref>F106:F107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07"/>
  <sheetViews>
    <sheetView topLeftCell="A108" workbookViewId="0">
      <selection activeCell="D124" sqref="D124"/>
    </sheetView>
  </sheetViews>
  <sheetFormatPr baseColWidth="10" defaultRowHeight="12.95" customHeight="1" x14ac:dyDescent="0.25"/>
  <cols>
    <col min="1" max="1" width="13.7109375" customWidth="1"/>
    <col min="4" max="4" width="11.7109375" customWidth="1"/>
    <col min="8" max="8" width="11.5703125" customWidth="1"/>
    <col min="12" max="12" width="13.28515625" customWidth="1"/>
    <col min="14" max="14" width="15.28515625" customWidth="1"/>
  </cols>
  <sheetData>
    <row r="1" spans="1:15" ht="12.95" hidden="1" customHeight="1" x14ac:dyDescent="0.25">
      <c r="A1" t="s">
        <v>84</v>
      </c>
      <c r="C1" t="s">
        <v>93</v>
      </c>
      <c r="D1" t="s">
        <v>94</v>
      </c>
      <c r="E1" t="s">
        <v>41</v>
      </c>
      <c r="F1" t="s">
        <v>110</v>
      </c>
      <c r="G1" t="s">
        <v>111</v>
      </c>
      <c r="H1" t="s">
        <v>50</v>
      </c>
      <c r="I1" t="s">
        <v>112</v>
      </c>
      <c r="J1" t="s">
        <v>113</v>
      </c>
      <c r="K1" t="s">
        <v>13</v>
      </c>
      <c r="L1" t="s">
        <v>49</v>
      </c>
      <c r="M1" t="s">
        <v>131</v>
      </c>
      <c r="N1" t="s">
        <v>132</v>
      </c>
      <c r="O1" t="s">
        <v>133</v>
      </c>
    </row>
    <row r="2" spans="1:15" ht="12.95" hidden="1" customHeight="1" x14ac:dyDescent="0.25">
      <c r="A2" t="s">
        <v>71</v>
      </c>
      <c r="C2" t="s">
        <v>89</v>
      </c>
      <c r="E2" t="s">
        <v>95</v>
      </c>
      <c r="F2" t="s">
        <v>107</v>
      </c>
      <c r="H2" t="s">
        <v>85</v>
      </c>
      <c r="K2" t="s">
        <v>114</v>
      </c>
      <c r="L2" t="s">
        <v>134</v>
      </c>
      <c r="M2" t="s">
        <v>152</v>
      </c>
      <c r="N2" t="s">
        <v>153</v>
      </c>
    </row>
    <row r="3" spans="1:15" ht="12.95" hidden="1" customHeight="1" x14ac:dyDescent="0.25">
      <c r="A3" t="s">
        <v>72</v>
      </c>
      <c r="C3" t="s">
        <v>90</v>
      </c>
      <c r="E3" t="s">
        <v>96</v>
      </c>
      <c r="F3" t="s">
        <v>108</v>
      </c>
      <c r="H3" t="s">
        <v>86</v>
      </c>
      <c r="K3" t="s">
        <v>115</v>
      </c>
      <c r="L3" t="s">
        <v>135</v>
      </c>
      <c r="N3" t="s">
        <v>154</v>
      </c>
    </row>
    <row r="4" spans="1:15" ht="12.95" hidden="1" customHeight="1" x14ac:dyDescent="0.25">
      <c r="A4" t="s">
        <v>73</v>
      </c>
      <c r="C4" t="s">
        <v>91</v>
      </c>
      <c r="E4" t="s">
        <v>97</v>
      </c>
      <c r="F4" t="s">
        <v>109</v>
      </c>
      <c r="H4" t="s">
        <v>87</v>
      </c>
      <c r="K4" t="s">
        <v>116</v>
      </c>
      <c r="L4" t="s">
        <v>136</v>
      </c>
      <c r="N4" t="s">
        <v>155</v>
      </c>
    </row>
    <row r="5" spans="1:15" ht="12.95" hidden="1" customHeight="1" x14ac:dyDescent="0.25">
      <c r="A5" t="s">
        <v>74</v>
      </c>
      <c r="C5" t="s">
        <v>92</v>
      </c>
      <c r="E5" t="s">
        <v>98</v>
      </c>
      <c r="H5" t="s">
        <v>88</v>
      </c>
      <c r="K5" t="s">
        <v>117</v>
      </c>
      <c r="L5" t="s">
        <v>137</v>
      </c>
      <c r="N5" t="s">
        <v>156</v>
      </c>
    </row>
    <row r="6" spans="1:15" ht="12.95" hidden="1" customHeight="1" x14ac:dyDescent="0.25">
      <c r="A6" t="s">
        <v>75</v>
      </c>
      <c r="E6" t="s">
        <v>99</v>
      </c>
      <c r="K6" t="s">
        <v>118</v>
      </c>
      <c r="L6" t="s">
        <v>138</v>
      </c>
    </row>
    <row r="7" spans="1:15" ht="12.95" hidden="1" customHeight="1" x14ac:dyDescent="0.25">
      <c r="A7" t="s">
        <v>76</v>
      </c>
      <c r="E7" t="s">
        <v>100</v>
      </c>
      <c r="K7" t="s">
        <v>119</v>
      </c>
      <c r="L7" t="s">
        <v>139</v>
      </c>
    </row>
    <row r="8" spans="1:15" ht="12.95" hidden="1" customHeight="1" x14ac:dyDescent="0.25">
      <c r="A8" t="s">
        <v>77</v>
      </c>
      <c r="E8" t="s">
        <v>101</v>
      </c>
      <c r="K8" t="s">
        <v>120</v>
      </c>
      <c r="L8" t="s">
        <v>140</v>
      </c>
    </row>
    <row r="9" spans="1:15" ht="12.95" hidden="1" customHeight="1" x14ac:dyDescent="0.25">
      <c r="A9" t="s">
        <v>78</v>
      </c>
      <c r="E9" t="s">
        <v>102</v>
      </c>
      <c r="K9" t="s">
        <v>121</v>
      </c>
      <c r="L9" t="s">
        <v>141</v>
      </c>
    </row>
    <row r="10" spans="1:15" ht="12.95" hidden="1" customHeight="1" x14ac:dyDescent="0.25">
      <c r="A10" t="s">
        <v>79</v>
      </c>
      <c r="E10" t="s">
        <v>103</v>
      </c>
      <c r="K10" t="s">
        <v>122</v>
      </c>
      <c r="L10" t="s">
        <v>142</v>
      </c>
    </row>
    <row r="11" spans="1:15" ht="12.95" hidden="1" customHeight="1" x14ac:dyDescent="0.25">
      <c r="A11" t="s">
        <v>80</v>
      </c>
      <c r="E11" t="s">
        <v>104</v>
      </c>
      <c r="K11" t="s">
        <v>123</v>
      </c>
      <c r="L11" t="s">
        <v>143</v>
      </c>
    </row>
    <row r="12" spans="1:15" ht="12.95" hidden="1" customHeight="1" x14ac:dyDescent="0.25">
      <c r="A12" t="s">
        <v>81</v>
      </c>
      <c r="E12" t="s">
        <v>105</v>
      </c>
      <c r="K12" t="s">
        <v>124</v>
      </c>
      <c r="L12" t="s">
        <v>144</v>
      </c>
    </row>
    <row r="13" spans="1:15" ht="12.95" hidden="1" customHeight="1" x14ac:dyDescent="0.25">
      <c r="A13" t="s">
        <v>82</v>
      </c>
      <c r="E13" t="s">
        <v>106</v>
      </c>
      <c r="K13" t="s">
        <v>125</v>
      </c>
      <c r="L13" t="s">
        <v>145</v>
      </c>
    </row>
    <row r="14" spans="1:15" ht="12.95" hidden="1" customHeight="1" x14ac:dyDescent="0.25">
      <c r="A14" t="s">
        <v>83</v>
      </c>
      <c r="K14" t="s">
        <v>126</v>
      </c>
      <c r="L14" t="s">
        <v>146</v>
      </c>
    </row>
    <row r="15" spans="1:15" ht="12.95" hidden="1" customHeight="1" x14ac:dyDescent="0.25">
      <c r="K15" t="s">
        <v>127</v>
      </c>
      <c r="L15" t="s">
        <v>147</v>
      </c>
    </row>
    <row r="16" spans="1:15" ht="12.95" hidden="1" customHeight="1" x14ac:dyDescent="0.25">
      <c r="K16" t="s">
        <v>128</v>
      </c>
      <c r="L16" t="s">
        <v>148</v>
      </c>
    </row>
    <row r="17" spans="1:12" ht="12.95" hidden="1" customHeight="1" x14ac:dyDescent="0.25">
      <c r="K17" t="s">
        <v>129</v>
      </c>
      <c r="L17" t="s">
        <v>149</v>
      </c>
    </row>
    <row r="18" spans="1:12" ht="12.95" hidden="1" customHeight="1" x14ac:dyDescent="0.25">
      <c r="K18" t="s">
        <v>130</v>
      </c>
      <c r="L18" t="s">
        <v>150</v>
      </c>
    </row>
    <row r="19" spans="1:12" ht="12.95" hidden="1" customHeight="1" x14ac:dyDescent="0.25">
      <c r="L19" t="s">
        <v>151</v>
      </c>
    </row>
    <row r="20" spans="1:12" ht="12.95" hidden="1" customHeight="1" x14ac:dyDescent="0.25"/>
    <row r="21" spans="1:12" ht="12.95" hidden="1" customHeight="1" x14ac:dyDescent="0.25"/>
    <row r="22" spans="1:12" ht="12.95" hidden="1" customHeight="1" x14ac:dyDescent="0.25">
      <c r="A22" t="s">
        <v>157</v>
      </c>
      <c r="B22" t="s">
        <v>61</v>
      </c>
      <c r="C22" t="s">
        <v>248</v>
      </c>
      <c r="D22" t="s">
        <v>272</v>
      </c>
      <c r="E22" t="s">
        <v>312</v>
      </c>
      <c r="F22" t="s">
        <v>332</v>
      </c>
      <c r="G22" t="s">
        <v>333</v>
      </c>
      <c r="H22" t="s">
        <v>336</v>
      </c>
      <c r="I22" t="s">
        <v>344</v>
      </c>
      <c r="K22" t="s">
        <v>528</v>
      </c>
    </row>
    <row r="23" spans="1:12" ht="12.95" hidden="1" customHeight="1" x14ac:dyDescent="0.25">
      <c r="A23" t="s">
        <v>52</v>
      </c>
      <c r="B23" t="s">
        <v>163</v>
      </c>
      <c r="C23" t="s">
        <v>63</v>
      </c>
      <c r="D23" t="s">
        <v>24</v>
      </c>
      <c r="E23" t="s">
        <v>313</v>
      </c>
      <c r="F23" t="s">
        <v>24</v>
      </c>
      <c r="K23">
        <v>20</v>
      </c>
    </row>
    <row r="24" spans="1:12" ht="12.95" hidden="1" customHeight="1" x14ac:dyDescent="0.25">
      <c r="A24" t="s">
        <v>158</v>
      </c>
      <c r="B24" t="s">
        <v>164</v>
      </c>
      <c r="C24" t="s">
        <v>249</v>
      </c>
      <c r="D24" t="s">
        <v>47</v>
      </c>
      <c r="E24" t="s">
        <v>314</v>
      </c>
      <c r="F24" t="s">
        <v>34</v>
      </c>
      <c r="G24" t="s">
        <v>334</v>
      </c>
      <c r="H24" t="s">
        <v>263</v>
      </c>
      <c r="I24" t="s">
        <v>260</v>
      </c>
      <c r="K24">
        <v>50</v>
      </c>
    </row>
    <row r="25" spans="1:12" ht="12.95" hidden="1" customHeight="1" x14ac:dyDescent="0.25">
      <c r="A25" t="s">
        <v>159</v>
      </c>
      <c r="B25" t="s">
        <v>165</v>
      </c>
      <c r="C25" t="s">
        <v>250</v>
      </c>
      <c r="E25" t="s">
        <v>315</v>
      </c>
      <c r="G25" t="s">
        <v>335</v>
      </c>
      <c r="H25" t="s">
        <v>338</v>
      </c>
      <c r="I25" t="s">
        <v>345</v>
      </c>
      <c r="K25">
        <v>100</v>
      </c>
    </row>
    <row r="26" spans="1:12" ht="12.95" hidden="1" customHeight="1" x14ac:dyDescent="0.25">
      <c r="A26" t="s">
        <v>160</v>
      </c>
      <c r="B26" t="s">
        <v>166</v>
      </c>
      <c r="C26" t="s">
        <v>251</v>
      </c>
      <c r="E26" t="s">
        <v>316</v>
      </c>
      <c r="H26" t="s">
        <v>339</v>
      </c>
    </row>
    <row r="27" spans="1:12" ht="12.95" hidden="1" customHeight="1" x14ac:dyDescent="0.25">
      <c r="A27" t="s">
        <v>161</v>
      </c>
      <c r="B27" t="s">
        <v>167</v>
      </c>
      <c r="C27" t="s">
        <v>252</v>
      </c>
      <c r="E27" t="s">
        <v>317</v>
      </c>
      <c r="H27" t="s">
        <v>256</v>
      </c>
    </row>
    <row r="28" spans="1:12" ht="12.95" hidden="1" customHeight="1" x14ac:dyDescent="0.25">
      <c r="A28" t="s">
        <v>162</v>
      </c>
      <c r="B28" t="s">
        <v>168</v>
      </c>
      <c r="C28" t="s">
        <v>253</v>
      </c>
      <c r="E28" t="s">
        <v>318</v>
      </c>
      <c r="H28" t="s">
        <v>340</v>
      </c>
    </row>
    <row r="29" spans="1:12" ht="12.95" hidden="1" customHeight="1" x14ac:dyDescent="0.25">
      <c r="B29" t="s">
        <v>169</v>
      </c>
      <c r="C29" t="s">
        <v>254</v>
      </c>
      <c r="E29" t="s">
        <v>319</v>
      </c>
      <c r="H29" t="s">
        <v>341</v>
      </c>
    </row>
    <row r="30" spans="1:12" ht="12.95" hidden="1" customHeight="1" x14ac:dyDescent="0.25">
      <c r="B30" t="s">
        <v>170</v>
      </c>
      <c r="E30" t="s">
        <v>320</v>
      </c>
      <c r="H30" t="s">
        <v>259</v>
      </c>
    </row>
    <row r="31" spans="1:12" ht="12.95" hidden="1" customHeight="1" x14ac:dyDescent="0.25">
      <c r="B31" t="s">
        <v>171</v>
      </c>
      <c r="E31" t="s">
        <v>321</v>
      </c>
      <c r="H31" t="s">
        <v>342</v>
      </c>
    </row>
    <row r="32" spans="1:12" ht="12.95" hidden="1" customHeight="1" x14ac:dyDescent="0.25">
      <c r="B32" t="s">
        <v>172</v>
      </c>
      <c r="E32" t="s">
        <v>322</v>
      </c>
      <c r="H32" t="s">
        <v>337</v>
      </c>
    </row>
    <row r="33" spans="2:8" ht="12.95" hidden="1" customHeight="1" x14ac:dyDescent="0.25">
      <c r="B33" t="s">
        <v>173</v>
      </c>
      <c r="E33" t="s">
        <v>323</v>
      </c>
      <c r="H33" t="s">
        <v>343</v>
      </c>
    </row>
    <row r="34" spans="2:8" ht="12.95" hidden="1" customHeight="1" x14ac:dyDescent="0.25">
      <c r="B34" t="s">
        <v>174</v>
      </c>
      <c r="E34" t="s">
        <v>324</v>
      </c>
      <c r="H34" t="s">
        <v>265</v>
      </c>
    </row>
    <row r="35" spans="2:8" ht="12.95" hidden="1" customHeight="1" x14ac:dyDescent="0.25">
      <c r="B35" t="s">
        <v>175</v>
      </c>
      <c r="E35" t="s">
        <v>325</v>
      </c>
    </row>
    <row r="36" spans="2:8" ht="12.95" hidden="1" customHeight="1" x14ac:dyDescent="0.25">
      <c r="B36" t="s">
        <v>176</v>
      </c>
      <c r="E36" t="s">
        <v>326</v>
      </c>
    </row>
    <row r="37" spans="2:8" ht="12.95" hidden="1" customHeight="1" x14ac:dyDescent="0.25">
      <c r="B37" t="s">
        <v>177</v>
      </c>
      <c r="E37" t="s">
        <v>327</v>
      </c>
    </row>
    <row r="38" spans="2:8" ht="12.95" hidden="1" customHeight="1" x14ac:dyDescent="0.25">
      <c r="B38" t="s">
        <v>178</v>
      </c>
      <c r="E38" t="s">
        <v>328</v>
      </c>
    </row>
    <row r="39" spans="2:8" ht="12.95" hidden="1" customHeight="1" x14ac:dyDescent="0.25">
      <c r="B39" t="s">
        <v>179</v>
      </c>
      <c r="E39" t="s">
        <v>329</v>
      </c>
    </row>
    <row r="40" spans="2:8" ht="12.95" hidden="1" customHeight="1" x14ac:dyDescent="0.25">
      <c r="B40" t="s">
        <v>180</v>
      </c>
      <c r="E40" t="s">
        <v>330</v>
      </c>
    </row>
    <row r="41" spans="2:8" ht="12.95" hidden="1" customHeight="1" x14ac:dyDescent="0.25">
      <c r="B41" t="s">
        <v>181</v>
      </c>
    </row>
    <row r="42" spans="2:8" ht="12.95" hidden="1" customHeight="1" x14ac:dyDescent="0.25">
      <c r="B42" t="s">
        <v>182</v>
      </c>
    </row>
    <row r="43" spans="2:8" ht="12.95" hidden="1" customHeight="1" x14ac:dyDescent="0.25">
      <c r="B43" t="s">
        <v>183</v>
      </c>
    </row>
    <row r="44" spans="2:8" ht="12.95" hidden="1" customHeight="1" x14ac:dyDescent="0.25">
      <c r="B44" t="s">
        <v>184</v>
      </c>
    </row>
    <row r="45" spans="2:8" ht="12.95" hidden="1" customHeight="1" x14ac:dyDescent="0.25">
      <c r="B45" t="s">
        <v>185</v>
      </c>
    </row>
    <row r="46" spans="2:8" ht="12.95" hidden="1" customHeight="1" x14ac:dyDescent="0.25">
      <c r="B46" t="s">
        <v>186</v>
      </c>
    </row>
    <row r="47" spans="2:8" ht="12.95" hidden="1" customHeight="1" x14ac:dyDescent="0.25">
      <c r="B47" t="s">
        <v>187</v>
      </c>
    </row>
    <row r="48" spans="2:8" ht="12.95" hidden="1" customHeight="1" x14ac:dyDescent="0.25">
      <c r="B48" t="s">
        <v>188</v>
      </c>
    </row>
    <row r="49" spans="2:2" ht="12.95" hidden="1" customHeight="1" x14ac:dyDescent="0.25">
      <c r="B49" t="s">
        <v>189</v>
      </c>
    </row>
    <row r="50" spans="2:2" ht="12.95" hidden="1" customHeight="1" x14ac:dyDescent="0.25">
      <c r="B50" t="s">
        <v>190</v>
      </c>
    </row>
    <row r="51" spans="2:2" ht="12.95" hidden="1" customHeight="1" x14ac:dyDescent="0.25">
      <c r="B51" t="s">
        <v>191</v>
      </c>
    </row>
    <row r="52" spans="2:2" ht="12.95" hidden="1" customHeight="1" x14ac:dyDescent="0.25">
      <c r="B52" t="s">
        <v>192</v>
      </c>
    </row>
    <row r="53" spans="2:2" ht="12.95" hidden="1" customHeight="1" x14ac:dyDescent="0.25">
      <c r="B53" t="s">
        <v>193</v>
      </c>
    </row>
    <row r="54" spans="2:2" ht="12.95" hidden="1" customHeight="1" x14ac:dyDescent="0.25">
      <c r="B54" t="s">
        <v>194</v>
      </c>
    </row>
    <row r="55" spans="2:2" ht="12.95" hidden="1" customHeight="1" x14ac:dyDescent="0.25">
      <c r="B55" t="s">
        <v>195</v>
      </c>
    </row>
    <row r="56" spans="2:2" ht="12.95" hidden="1" customHeight="1" x14ac:dyDescent="0.25">
      <c r="B56" t="s">
        <v>196</v>
      </c>
    </row>
    <row r="57" spans="2:2" ht="12.95" hidden="1" customHeight="1" x14ac:dyDescent="0.25">
      <c r="B57" t="s">
        <v>197</v>
      </c>
    </row>
    <row r="58" spans="2:2" ht="12.95" hidden="1" customHeight="1" x14ac:dyDescent="0.25">
      <c r="B58" t="s">
        <v>198</v>
      </c>
    </row>
    <row r="59" spans="2:2" ht="12.95" hidden="1" customHeight="1" x14ac:dyDescent="0.25">
      <c r="B59" t="s">
        <v>199</v>
      </c>
    </row>
    <row r="60" spans="2:2" ht="12.95" hidden="1" customHeight="1" x14ac:dyDescent="0.25">
      <c r="B60" t="s">
        <v>200</v>
      </c>
    </row>
    <row r="61" spans="2:2" ht="12.95" hidden="1" customHeight="1" x14ac:dyDescent="0.25">
      <c r="B61" t="s">
        <v>201</v>
      </c>
    </row>
    <row r="62" spans="2:2" ht="12.95" hidden="1" customHeight="1" x14ac:dyDescent="0.25">
      <c r="B62" t="s">
        <v>202</v>
      </c>
    </row>
    <row r="63" spans="2:2" ht="12.95" hidden="1" customHeight="1" x14ac:dyDescent="0.25">
      <c r="B63" t="s">
        <v>203</v>
      </c>
    </row>
    <row r="64" spans="2:2" ht="12.95" hidden="1" customHeight="1" x14ac:dyDescent="0.25">
      <c r="B64" t="s">
        <v>204</v>
      </c>
    </row>
    <row r="65" spans="2:2" ht="12.95" hidden="1" customHeight="1" x14ac:dyDescent="0.25">
      <c r="B65" t="s">
        <v>205</v>
      </c>
    </row>
    <row r="66" spans="2:2" ht="12.95" hidden="1" customHeight="1" x14ac:dyDescent="0.25">
      <c r="B66" t="s">
        <v>206</v>
      </c>
    </row>
    <row r="67" spans="2:2" ht="12.95" hidden="1" customHeight="1" x14ac:dyDescent="0.25">
      <c r="B67" t="s">
        <v>207</v>
      </c>
    </row>
    <row r="68" spans="2:2" ht="12.95" hidden="1" customHeight="1" x14ac:dyDescent="0.25">
      <c r="B68" t="s">
        <v>208</v>
      </c>
    </row>
    <row r="69" spans="2:2" ht="12.95" hidden="1" customHeight="1" x14ac:dyDescent="0.25">
      <c r="B69" t="s">
        <v>209</v>
      </c>
    </row>
    <row r="70" spans="2:2" ht="12.95" hidden="1" customHeight="1" x14ac:dyDescent="0.25">
      <c r="B70" t="s">
        <v>210</v>
      </c>
    </row>
    <row r="71" spans="2:2" ht="12.95" hidden="1" customHeight="1" x14ac:dyDescent="0.25">
      <c r="B71" t="s">
        <v>211</v>
      </c>
    </row>
    <row r="72" spans="2:2" ht="12.95" hidden="1" customHeight="1" x14ac:dyDescent="0.25">
      <c r="B72" t="s">
        <v>212</v>
      </c>
    </row>
    <row r="73" spans="2:2" ht="12.95" hidden="1" customHeight="1" x14ac:dyDescent="0.25">
      <c r="B73" t="s">
        <v>213</v>
      </c>
    </row>
    <row r="74" spans="2:2" ht="12.95" hidden="1" customHeight="1" x14ac:dyDescent="0.25">
      <c r="B74" t="s">
        <v>214</v>
      </c>
    </row>
    <row r="75" spans="2:2" ht="12.95" hidden="1" customHeight="1" x14ac:dyDescent="0.25">
      <c r="B75" t="s">
        <v>215</v>
      </c>
    </row>
    <row r="76" spans="2:2" ht="12.95" hidden="1" customHeight="1" x14ac:dyDescent="0.25">
      <c r="B76" t="s">
        <v>216</v>
      </c>
    </row>
    <row r="77" spans="2:2" ht="12.95" hidden="1" customHeight="1" x14ac:dyDescent="0.25">
      <c r="B77" t="s">
        <v>217</v>
      </c>
    </row>
    <row r="78" spans="2:2" ht="12.95" hidden="1" customHeight="1" x14ac:dyDescent="0.25">
      <c r="B78" t="s">
        <v>218</v>
      </c>
    </row>
    <row r="79" spans="2:2" ht="12.95" hidden="1" customHeight="1" x14ac:dyDescent="0.25">
      <c r="B79" t="s">
        <v>219</v>
      </c>
    </row>
    <row r="80" spans="2:2" ht="12.95" hidden="1" customHeight="1" x14ac:dyDescent="0.25">
      <c r="B80" t="s">
        <v>220</v>
      </c>
    </row>
    <row r="81" spans="2:2" ht="12.95" hidden="1" customHeight="1" x14ac:dyDescent="0.25">
      <c r="B81" t="s">
        <v>221</v>
      </c>
    </row>
    <row r="82" spans="2:2" ht="12.95" hidden="1" customHeight="1" x14ac:dyDescent="0.25">
      <c r="B82" t="s">
        <v>222</v>
      </c>
    </row>
    <row r="83" spans="2:2" ht="12.95" hidden="1" customHeight="1" x14ac:dyDescent="0.25">
      <c r="B83" t="s">
        <v>223</v>
      </c>
    </row>
    <row r="84" spans="2:2" ht="12.95" hidden="1" customHeight="1" x14ac:dyDescent="0.25">
      <c r="B84" t="s">
        <v>224</v>
      </c>
    </row>
    <row r="85" spans="2:2" ht="12.95" hidden="1" customHeight="1" x14ac:dyDescent="0.25">
      <c r="B85" t="s">
        <v>225</v>
      </c>
    </row>
    <row r="86" spans="2:2" ht="12.95" hidden="1" customHeight="1" x14ac:dyDescent="0.25">
      <c r="B86" t="s">
        <v>226</v>
      </c>
    </row>
    <row r="87" spans="2:2" ht="12.95" hidden="1" customHeight="1" x14ac:dyDescent="0.25">
      <c r="B87" t="s">
        <v>227</v>
      </c>
    </row>
    <row r="88" spans="2:2" ht="12.95" hidden="1" customHeight="1" x14ac:dyDescent="0.25">
      <c r="B88" t="s">
        <v>228</v>
      </c>
    </row>
    <row r="89" spans="2:2" ht="12.95" hidden="1" customHeight="1" x14ac:dyDescent="0.25">
      <c r="B89" t="s">
        <v>229</v>
      </c>
    </row>
    <row r="90" spans="2:2" ht="12.95" hidden="1" customHeight="1" x14ac:dyDescent="0.25">
      <c r="B90" t="s">
        <v>230</v>
      </c>
    </row>
    <row r="91" spans="2:2" ht="12.95" hidden="1" customHeight="1" x14ac:dyDescent="0.25">
      <c r="B91" t="s">
        <v>231</v>
      </c>
    </row>
    <row r="92" spans="2:2" ht="12.95" hidden="1" customHeight="1" x14ac:dyDescent="0.25">
      <c r="B92" t="s">
        <v>232</v>
      </c>
    </row>
    <row r="93" spans="2:2" ht="12.95" hidden="1" customHeight="1" x14ac:dyDescent="0.25">
      <c r="B93" t="s">
        <v>233</v>
      </c>
    </row>
    <row r="94" spans="2:2" ht="12.95" hidden="1" customHeight="1" x14ac:dyDescent="0.25">
      <c r="B94" t="s">
        <v>234</v>
      </c>
    </row>
    <row r="95" spans="2:2" ht="12.95" hidden="1" customHeight="1" x14ac:dyDescent="0.25">
      <c r="B95" t="s">
        <v>235</v>
      </c>
    </row>
    <row r="96" spans="2:2" ht="12.95" hidden="1" customHeight="1" x14ac:dyDescent="0.25">
      <c r="B96" t="s">
        <v>236</v>
      </c>
    </row>
    <row r="97" spans="2:2" ht="12.95" hidden="1" customHeight="1" x14ac:dyDescent="0.25">
      <c r="B97" t="s">
        <v>237</v>
      </c>
    </row>
    <row r="98" spans="2:2" ht="12.95" hidden="1" customHeight="1" x14ac:dyDescent="0.25">
      <c r="B98" t="s">
        <v>238</v>
      </c>
    </row>
    <row r="99" spans="2:2" ht="12.95" hidden="1" customHeight="1" x14ac:dyDescent="0.25">
      <c r="B99" t="s">
        <v>239</v>
      </c>
    </row>
    <row r="100" spans="2:2" ht="12.95" hidden="1" customHeight="1" x14ac:dyDescent="0.25">
      <c r="B100" t="s">
        <v>240</v>
      </c>
    </row>
    <row r="101" spans="2:2" ht="12.95" hidden="1" customHeight="1" x14ac:dyDescent="0.25">
      <c r="B101" t="s">
        <v>241</v>
      </c>
    </row>
    <row r="102" spans="2:2" ht="12.95" hidden="1" customHeight="1" x14ac:dyDescent="0.25">
      <c r="B102" t="s">
        <v>242</v>
      </c>
    </row>
    <row r="103" spans="2:2" ht="12.95" hidden="1" customHeight="1" x14ac:dyDescent="0.25">
      <c r="B103" t="s">
        <v>243</v>
      </c>
    </row>
    <row r="104" spans="2:2" ht="12.95" hidden="1" customHeight="1" x14ac:dyDescent="0.25">
      <c r="B104" t="s">
        <v>244</v>
      </c>
    </row>
    <row r="105" spans="2:2" ht="12.95" hidden="1" customHeight="1" x14ac:dyDescent="0.25">
      <c r="B105" t="s">
        <v>245</v>
      </c>
    </row>
    <row r="106" spans="2:2" ht="12.95" hidden="1" customHeight="1" x14ac:dyDescent="0.25">
      <c r="B106" t="s">
        <v>246</v>
      </c>
    </row>
    <row r="107" spans="2:2" ht="12.95" hidden="1" customHeight="1" x14ac:dyDescent="0.25">
      <c r="B107" t="s">
        <v>247</v>
      </c>
    </row>
  </sheetData>
  <sheetProtection algorithmName="SHA-512" hashValue="Uz/D8rsGn22izW7owR8xBp4iVIpNOrERFztTCEf8sr1ok8eSvZ2GS+FT4a4nnSk5exDALauYyYKvnY0qr6+9wA==" saltValue="yZnbbKYLZ8NpLERncQfvsw==" spinCount="100000" sheet="1" objects="1" scenarios="1"/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Informations Contrats</vt:lpstr>
      <vt:lpstr>Referentiels</vt:lpstr>
      <vt:lpstr>AP</vt:lpstr>
      <vt:lpstr>CO</vt:lpstr>
      <vt:lpstr>IA</vt:lpstr>
      <vt:lpstr>IN</vt:lpstr>
      <vt:lpstr>LO</vt:lpstr>
      <vt:lpstr>MR</vt:lpstr>
      <vt:lpstr>PJ</vt:lpstr>
      <vt:lpstr>PP</vt:lpstr>
      <vt:lpstr>RC_</vt:lpstr>
      <vt:lpstr>RS</vt:lpstr>
      <vt:lpstr>RT</vt:lpstr>
      <vt:lpstr>TR</vt:lpstr>
      <vt:lpstr>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Erwan COULM</dc:creator>
  <cp:lastModifiedBy>Jean-Luc WENG</cp:lastModifiedBy>
  <dcterms:created xsi:type="dcterms:W3CDTF">2019-06-03T12:17:08Z</dcterms:created>
  <dcterms:modified xsi:type="dcterms:W3CDTF">2020-03-18T09:18:46Z</dcterms:modified>
</cp:coreProperties>
</file>